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oes_Base" sheetId="1" state="visible" r:id="rId1"/>
    <sheet name="Categorias" sheetId="2" state="visible" r:id="rId2"/>
    <sheet name="Resumo_Mensal" sheetId="3" state="visible" r:id="rId3"/>
    <sheet name="Por_Grupo" sheetId="4" state="visible" r:id="rId4"/>
    <sheet name="Orcamento_Mensal" sheetId="5" state="visible" r:id="rId5"/>
    <sheet name="📊 Dashboard" sheetId="6" state="visible" r:id="rId6"/>
    <sheet name="📖 Instruções" sheetId="7" state="visible" r:id="rId7"/>
    <sheet name="_ChartData" sheetId="8" state="hidden" r:id="rId8"/>
    <sheet name="📈 Charts" sheetId="9" state="visible" r:id="rId9"/>
  </sheets>
  <definedNames>
    <definedName name="_xlnm._FilterDatabase" localSheetId="0" hidden="1">'Transacoes_Base'!$A$2:$M$209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A96C"/>
      <sz val="10"/>
    </font>
    <font>
      <name val="Calibri"/>
      <b val="1"/>
      <color rgb="00D64045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1B2A4A"/>
      <sz val="16"/>
    </font>
    <font>
      <name val="Calibri"/>
      <b val="1"/>
      <color rgb="00D64045"/>
      <sz val="16"/>
    </font>
    <font>
      <name val="Calibri"/>
      <color rgb="00D64045"/>
      <sz val="10"/>
    </font>
    <font>
      <name val="Calibri"/>
      <b val="1"/>
      <color rgb="00000000"/>
      <sz val="10"/>
    </font>
    <font>
      <name val="Calibri"/>
      <b val="1"/>
      <color rgb="000F7173"/>
      <sz val="11"/>
    </font>
    <font>
      <name val="Calibri"/>
      <b val="1"/>
      <color rgb="001B2A4A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F7173"/>
      </patternFill>
    </fill>
    <fill>
      <patternFill patternType="solid">
        <fgColor rgb="00FFFFFF"/>
      </patternFill>
    </fill>
    <fill>
      <patternFill patternType="solid">
        <fgColor rgb="00F2F4F7"/>
      </patternFill>
    </fill>
    <fill>
      <patternFill patternType="solid">
        <fgColor rgb="00FFE8E8"/>
      </patternFill>
    </fill>
    <fill>
      <patternFill patternType="solid">
        <fgColor rgb="00EBF4FF"/>
      </patternFill>
    </fill>
    <fill>
      <patternFill patternType="solid">
        <fgColor rgb="00D6404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4" fontId="9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6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4" fontId="10" fillId="6" borderId="1" applyAlignment="1" pivotButton="0" quotePrefix="0" xfId="0">
      <alignment horizontal="right" vertical="center"/>
    </xf>
    <xf numFmtId="166" fontId="3" fillId="9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Receitas vs Despesas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'_ChartData'!B1</f>
            </strRef>
          </tx>
          <spPr>
            <a:solidFill>
              <a:srgbClr val="27A96C"/>
            </a:solidFill>
            <a:ln>
              <a:prstDash val="solid"/>
            </a:ln>
          </spPr>
          <cat>
            <numRef>
              <f>'_ChartData'!$A$2:$A$9</f>
            </numRef>
          </cat>
          <val>
            <numRef>
              <f>'_ChartData'!$B$2:$B$9</f>
            </numRef>
          </val>
        </ser>
        <ser>
          <idx val="1"/>
          <order val="1"/>
          <tx>
            <strRef>
              <f>'_ChartData'!C1</f>
            </strRef>
          </tx>
          <spPr>
            <a:solidFill>
              <a:srgbClr val="D64045"/>
            </a:solidFill>
            <a:ln>
              <a:prstDash val="solid"/>
            </a:ln>
          </spPr>
          <cat>
            <numRef>
              <f>'_ChartData'!$A$2:$A$9</f>
            </numRef>
          </cat>
          <val>
            <numRef>
              <f>'_ChartData'!$C$2:$C$9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Por Grupo</a:t>
            </a:r>
          </a:p>
        </rich>
      </tx>
    </title>
    <plotArea>
      <pieChart>
        <varyColors val="1"/>
        <ser>
          <idx val="0"/>
          <order val="0"/>
          <tx>
            <strRef>
              <f>'_ChartData'!G1</f>
            </strRef>
          </tx>
          <spPr>
            <a:ln>
              <a:prstDash val="solid"/>
            </a:ln>
          </spPr>
          <cat>
            <numRef>
              <f>'_ChartData'!$F$2:$F$7</f>
            </numRef>
          </cat>
          <val>
            <numRef>
              <f>'_ChartData'!$G$2:$G$7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Receitas vs Despesas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'_ChartData'!B1</f>
            </strRef>
          </tx>
          <spPr>
            <a:solidFill>
              <a:srgbClr val="27A96C"/>
            </a:solidFill>
            <a:ln>
              <a:prstDash val="solid"/>
            </a:ln>
          </spPr>
          <cat>
            <numRef>
              <f>'_ChartData'!$A$2:$A$9</f>
            </numRef>
          </cat>
          <val>
            <numRef>
              <f>'_ChartData'!$B$2:$B$9</f>
            </numRef>
          </val>
        </ser>
        <ser>
          <idx val="1"/>
          <order val="1"/>
          <tx>
            <strRef>
              <f>'_ChartData'!C1</f>
            </strRef>
          </tx>
          <spPr>
            <a:solidFill>
              <a:srgbClr val="D64045"/>
            </a:solidFill>
            <a:ln>
              <a:prstDash val="solid"/>
            </a:ln>
          </spPr>
          <cat>
            <numRef>
              <f>'_ChartData'!$A$2:$A$9</f>
            </numRef>
          </cat>
          <val>
            <numRef>
              <f>'_ChartData'!$C$2:$C$9</f>
            </numRef>
          </val>
        </ser>
        <gapWidth val="150"/>
        <overlap val="-1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Despesas por Grupo</a:t>
            </a:r>
          </a:p>
        </rich>
      </tx>
    </title>
    <plotArea>
      <pieChart>
        <varyColors val="1"/>
        <ser>
          <idx val="0"/>
          <order val="0"/>
          <tx>
            <strRef>
              <f>'_ChartData'!G1</f>
            </strRef>
          </tx>
          <spPr>
            <a:solidFill>
              <a:srgbClr val="9B59B6"/>
            </a:solidFill>
            <a:ln>
              <a:prstDash val="solid"/>
            </a:ln>
          </spPr>
          <cat>
            <numRef>
              <f>'_ChartData'!$F$2:$F$7</f>
            </numRef>
          </cat>
          <val>
            <numRef>
              <f>'_ChartData'!$G$2:$G$7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Taxa de Poupança Mensal (%)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'_ChartData'!J1</f>
            </strRef>
          </tx>
          <spPr>
            <a:ln w="25000">
              <a:solidFill>
                <a:srgbClr val="0F7173"/>
              </a:solidFill>
              <a:prstDash val="solid"/>
            </a:ln>
          </spPr>
          <marker>
            <symbol val="circle"/>
            <size val="6"/>
            <spPr>
              <a:solidFill>
                <a:srgbClr val="0F7173"/>
              </a:solidFill>
              <a:ln>
                <a:prstDash val="solid"/>
              </a:ln>
            </spPr>
          </marker>
          <cat>
            <numRef>
              <f>'_ChartData'!$I$2:$I$9</f>
            </numRef>
          </cat>
          <val>
            <numRef>
              <f>'_ChartData'!$J$2:$J$9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6 Categorias de Gasto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F4A261"/>
            </a:solidFill>
            <a:ln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Orçado vs Real — Essencial &amp; Financeiro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'_ChartData'!P1</f>
            </strRef>
          </tx>
          <spPr>
            <a:solidFill>
              <a:srgbClr val="27A96C"/>
            </a:solidFill>
            <a:ln>
              <a:prstDash val="solid"/>
            </a:ln>
          </spPr>
          <cat>
            <numRef>
              <f>'_ChartData'!$O$2:$O$9</f>
            </numRef>
          </cat>
          <val>
            <numRef>
              <f>'_ChartData'!$P$2:$P$9</f>
            </numRef>
          </val>
        </ser>
        <ser>
          <idx val="1"/>
          <order val="1"/>
          <tx>
            <strRef>
              <f>'_ChartData'!Q1</f>
            </strRef>
          </tx>
          <spPr>
            <a:solidFill>
              <a:srgbClr val="D64045"/>
            </a:solidFill>
            <a:ln>
              <a:prstDash val="solid"/>
            </a:ln>
          </spPr>
          <cat>
            <numRef>
              <f>'_ChartData'!$O$2:$O$9</f>
            </numRef>
          </cat>
          <val>
            <numRef>
              <f>'_ChartData'!$Q$2:$Q$9</f>
            </numRef>
          </val>
        </ser>
        <ser>
          <idx val="2"/>
          <order val="2"/>
          <tx>
            <strRef>
              <f>'_ChartData'!R1</f>
            </strRef>
          </tx>
          <spPr>
            <a:solidFill>
              <a:srgbClr val="A8D5BA"/>
            </a:solidFill>
            <a:ln>
              <a:prstDash val="solid"/>
            </a:ln>
          </spPr>
          <cat>
            <numRef>
              <f>'_ChartData'!$O$2:$O$9</f>
            </numRef>
          </cat>
          <val>
            <numRef>
              <f>'_ChartData'!$R$2:$R$9</f>
            </numRef>
          </val>
        </ser>
        <ser>
          <idx val="3"/>
          <order val="3"/>
          <tx>
            <strRef>
              <f>'_ChartData'!S1</f>
            </strRef>
          </tx>
          <spPr>
            <a:solidFill>
              <a:srgbClr val="F4A8A8"/>
            </a:solidFill>
            <a:ln>
              <a:prstDash val="solid"/>
            </a:ln>
          </spPr>
          <cat>
            <numRef>
              <f>'_ChartData'!$O$2:$O$9</f>
            </numRef>
          </cat>
          <val>
            <numRef>
              <f>'_ChartData'!$S$2:$S$9</f>
            </numRef>
          </val>
        </ser>
        <gapWidth val="150"/>
        <overlap val="-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22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7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31</row>
      <rowOff>0</rowOff>
    </from>
    <ext cx="792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31</row>
      <rowOff>0</rowOff>
    </from>
    <ext cx="72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56</row>
      <rowOff>0</rowOff>
    </from>
    <ext cx="15840000" cy="46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20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4" customWidth="1" min="4" max="4"/>
    <col width="40" customWidth="1" min="5" max="5"/>
    <col width="20" customWidth="1" min="6" max="6"/>
    <col width="20" customWidth="1" min="7" max="7"/>
    <col width="18" customWidth="1" min="8" max="8"/>
    <col width="14" customWidth="1" min="9" max="9"/>
    <col width="10" customWidth="1" min="10" max="10"/>
    <col width="7" customWidth="1" min="11" max="11"/>
    <col width="14" customWidth="1" min="12" max="12"/>
    <col width="30" customWidth="1" min="13" max="13"/>
  </cols>
  <sheetData>
    <row r="1">
      <c r="A1" s="1" t="inlineStr">
        <is>
          <t>📋  Transações Unificadas 2026  (MP Faturas · Banco Inter · BCB Câmbio)</t>
        </is>
      </c>
    </row>
    <row r="2">
      <c r="A2" s="2" t="inlineStr">
        <is>
          <t>#</t>
        </is>
      </c>
      <c r="B2" s="2" t="inlineStr">
        <is>
          <t>Data</t>
        </is>
      </c>
      <c r="C2" s="2" t="inlineStr">
        <is>
          <t>Mês</t>
        </is>
      </c>
      <c r="D2" s="2" t="inlineStr">
        <is>
          <t>Fonte</t>
        </is>
      </c>
      <c r="E2" s="2" t="inlineStr">
        <is>
          <t>Descrição</t>
        </is>
      </c>
      <c r="F2" s="2" t="inlineStr">
        <is>
          <t>Cat. Original</t>
        </is>
      </c>
      <c r="G2" s="2" t="inlineStr">
        <is>
          <t>Categoria</t>
        </is>
      </c>
      <c r="H2" s="2" t="inlineStr">
        <is>
          <t>Grupo</t>
        </is>
      </c>
      <c r="I2" s="2" t="inlineStr">
        <is>
          <t>Valor (R$)</t>
        </is>
      </c>
      <c r="J2" s="2" t="inlineStr">
        <is>
          <t>FCY</t>
        </is>
      </c>
      <c r="K2" s="2" t="inlineStr">
        <is>
          <t>Moeda</t>
        </is>
      </c>
      <c r="L2" s="2" t="inlineStr">
        <is>
          <t>Direção</t>
        </is>
      </c>
      <c r="M2" s="2" t="inlineStr">
        <is>
          <t>Notas</t>
        </is>
      </c>
    </row>
    <row r="3">
      <c r="A3" s="3" t="n">
        <v>205</v>
      </c>
      <c r="B3" s="4" t="n">
        <v>45531</v>
      </c>
      <c r="C3" s="5" t="inlineStr">
        <is>
          <t>2024-08</t>
        </is>
      </c>
      <c r="D3" s="5" t="inlineStr">
        <is>
          <t>BCB Câmbio</t>
        </is>
      </c>
      <c r="E3" s="5" t="inlineStr">
        <is>
          <t>Switzerland Travel</t>
        </is>
      </c>
      <c r="F3" s="5" t="inlineStr">
        <is>
          <t>32999 Travel</t>
        </is>
      </c>
      <c r="G3" s="5" t="inlineStr"/>
      <c r="H3" s="5" t="inlineStr">
        <is>
          <t>Outros</t>
        </is>
      </c>
      <c r="I3" s="6" t="n">
        <v>5618.2</v>
      </c>
      <c r="J3" s="7" t="n">
        <v>800</v>
      </c>
      <c r="K3" s="5" t="inlineStr">
        <is>
          <t>CHF</t>
        </is>
      </c>
      <c r="L3" s="5" t="inlineStr">
        <is>
          <t>Travel FX</t>
        </is>
      </c>
      <c r="M3" s="5" t="inlineStr">
        <is>
          <t>Rate 7.0228</t>
        </is>
      </c>
    </row>
    <row r="4">
      <c r="A4" s="8" t="n">
        <v>206</v>
      </c>
      <c r="B4" s="9" t="n">
        <v>45531</v>
      </c>
      <c r="C4" s="10" t="inlineStr">
        <is>
          <t>2024-08</t>
        </is>
      </c>
      <c r="D4" s="10" t="inlineStr">
        <is>
          <t>BCB Câmbio</t>
        </is>
      </c>
      <c r="E4" s="10" t="inlineStr">
        <is>
          <t>USA Travel</t>
        </is>
      </c>
      <c r="F4" s="10" t="inlineStr">
        <is>
          <t>32999 Travel</t>
        </is>
      </c>
      <c r="G4" s="10" t="inlineStr"/>
      <c r="H4" s="10" t="inlineStr">
        <is>
          <t>Outros</t>
        </is>
      </c>
      <c r="I4" s="11" t="n">
        <v>11473.79</v>
      </c>
      <c r="J4" s="12" t="n">
        <v>2000</v>
      </c>
      <c r="K4" s="10" t="inlineStr">
        <is>
          <t>USD</t>
        </is>
      </c>
      <c r="L4" s="10" t="inlineStr">
        <is>
          <t>Travel FX</t>
        </is>
      </c>
      <c r="M4" s="10" t="inlineStr">
        <is>
          <t>Rate 5.7369</t>
        </is>
      </c>
    </row>
    <row r="5">
      <c r="A5" s="3" t="n">
        <v>207</v>
      </c>
      <c r="B5" s="4" t="n">
        <v>45615</v>
      </c>
      <c r="C5" s="5" t="inlineStr">
        <is>
          <t>2024-11</t>
        </is>
      </c>
      <c r="D5" s="5" t="inlineStr">
        <is>
          <t>BCB Câmbio</t>
        </is>
      </c>
      <c r="E5" s="5" t="inlineStr">
        <is>
          <t>Switzerland Travel</t>
        </is>
      </c>
      <c r="F5" s="5" t="inlineStr">
        <is>
          <t>32999 Travel</t>
        </is>
      </c>
      <c r="G5" s="5" t="inlineStr"/>
      <c r="H5" s="5" t="inlineStr">
        <is>
          <t>Outros</t>
        </is>
      </c>
      <c r="I5" s="6" t="n">
        <v>10534.12</v>
      </c>
      <c r="J5" s="7" t="n">
        <v>1500</v>
      </c>
      <c r="K5" s="5" t="inlineStr">
        <is>
          <t>CHF</t>
        </is>
      </c>
      <c r="L5" s="5" t="inlineStr">
        <is>
          <t>Travel FX</t>
        </is>
      </c>
      <c r="M5" s="5" t="inlineStr">
        <is>
          <t>Rate 7.0228</t>
        </is>
      </c>
    </row>
    <row r="6">
      <c r="A6" s="8" t="n">
        <v>1</v>
      </c>
      <c r="B6" s="9" t="n">
        <v>46028</v>
      </c>
      <c r="C6" s="10" t="inlineStr">
        <is>
          <t>2026-01</t>
        </is>
      </c>
      <c r="D6" s="10" t="inlineStr">
        <is>
          <t>MP Cartão</t>
        </is>
      </c>
      <c r="E6" s="10" t="inlineStr">
        <is>
          <t>IFD*PIZZA NOW INTERMARES</t>
        </is>
      </c>
      <c r="F6" s="10" t="inlineStr">
        <is>
          <t>Delivery/iFood</t>
        </is>
      </c>
      <c r="G6" s="10" t="inlineStr">
        <is>
          <t>Alimentação</t>
        </is>
      </c>
      <c r="H6" s="10" t="inlineStr">
        <is>
          <t>Essencial</t>
        </is>
      </c>
      <c r="I6" s="13" t="n">
        <v>-173.79</v>
      </c>
      <c r="J6" s="10" t="n"/>
      <c r="K6" s="10" t="inlineStr">
        <is>
          <t>BRL</t>
        </is>
      </c>
      <c r="L6" s="10" t="inlineStr">
        <is>
          <t>Despesa</t>
        </is>
      </c>
      <c r="M6" s="10" t="inlineStr">
        <is>
          <t>Fatura 2026-02</t>
        </is>
      </c>
    </row>
    <row r="7">
      <c r="A7" s="3" t="n">
        <v>2</v>
      </c>
      <c r="B7" s="4" t="n">
        <v>46030</v>
      </c>
      <c r="C7" s="5" t="inlineStr">
        <is>
          <t>2026-01</t>
        </is>
      </c>
      <c r="D7" s="5" t="inlineStr">
        <is>
          <t>MP Cartão</t>
        </is>
      </c>
      <c r="E7" s="5" t="inlineStr">
        <is>
          <t>Compra internacional em OPENAI *CHATGPT SUBSCR</t>
        </is>
      </c>
      <c r="F7" s="5" t="inlineStr">
        <is>
          <t>IA/Tecnologia</t>
        </is>
      </c>
      <c r="G7" s="5" t="inlineStr">
        <is>
          <t>Tecnologia/IA</t>
        </is>
      </c>
      <c r="H7" s="5" t="inlineStr">
        <is>
          <t>Estilo de Vida</t>
        </is>
      </c>
      <c r="I7" s="14" t="n">
        <v>-111.58</v>
      </c>
      <c r="J7" s="5" t="n"/>
      <c r="K7" s="5" t="inlineStr">
        <is>
          <t>USD</t>
        </is>
      </c>
      <c r="L7" s="5" t="inlineStr">
        <is>
          <t>Despesa</t>
        </is>
      </c>
      <c r="M7" s="5" t="inlineStr">
        <is>
          <t>Fatura 2026-02</t>
        </is>
      </c>
    </row>
    <row r="8">
      <c r="A8" s="8" t="n">
        <v>3</v>
      </c>
      <c r="B8" s="9" t="n">
        <v>46030</v>
      </c>
      <c r="C8" s="10" t="inlineStr">
        <is>
          <t>2026-01</t>
        </is>
      </c>
      <c r="D8" s="10" t="inlineStr">
        <is>
          <t>MP Cartão</t>
        </is>
      </c>
      <c r="E8" s="10" t="inlineStr">
        <is>
          <t>APPLE.COM/BILL</t>
        </is>
      </c>
      <c r="F8" s="10" t="inlineStr">
        <is>
          <t>Assinatura</t>
        </is>
      </c>
      <c r="G8" s="10" t="inlineStr">
        <is>
          <t>Assinaturas</t>
        </is>
      </c>
      <c r="H8" s="10" t="inlineStr">
        <is>
          <t>Estilo de Vida</t>
        </is>
      </c>
      <c r="I8" s="13" t="n">
        <v>-21.9</v>
      </c>
      <c r="J8" s="10" t="n"/>
      <c r="K8" s="10" t="inlineStr">
        <is>
          <t>BRL</t>
        </is>
      </c>
      <c r="L8" s="10" t="inlineStr">
        <is>
          <t>Despesa</t>
        </is>
      </c>
      <c r="M8" s="10" t="inlineStr">
        <is>
          <t>Fatura 2026-02</t>
        </is>
      </c>
    </row>
    <row r="9">
      <c r="A9" s="3" t="n">
        <v>4</v>
      </c>
      <c r="B9" s="4" t="n">
        <v>46032</v>
      </c>
      <c r="C9" s="5" t="inlineStr">
        <is>
          <t>2026-01</t>
        </is>
      </c>
      <c r="D9" s="5" t="inlineStr">
        <is>
          <t>MP Cartão</t>
        </is>
      </c>
      <c r="E9" s="5" t="inlineStr">
        <is>
          <t>IFD*34531468 EDWIN LEI</t>
        </is>
      </c>
      <c r="F9" s="5" t="inlineStr">
        <is>
          <t>Delivery/iFood</t>
        </is>
      </c>
      <c r="G9" s="5" t="inlineStr">
        <is>
          <t>Alimentação</t>
        </is>
      </c>
      <c r="H9" s="5" t="inlineStr">
        <is>
          <t>Essencial</t>
        </is>
      </c>
      <c r="I9" s="14" t="n">
        <v>-111.6</v>
      </c>
      <c r="J9" s="5" t="n"/>
      <c r="K9" s="5" t="inlineStr">
        <is>
          <t>BRL</t>
        </is>
      </c>
      <c r="L9" s="5" t="inlineStr">
        <is>
          <t>Despesa</t>
        </is>
      </c>
      <c r="M9" s="5" t="inlineStr">
        <is>
          <t>Fatura 2026-02</t>
        </is>
      </c>
    </row>
    <row r="10">
      <c r="A10" s="8" t="n">
        <v>5</v>
      </c>
      <c r="B10" s="9" t="n">
        <v>46032</v>
      </c>
      <c r="C10" s="10" t="inlineStr">
        <is>
          <t>2026-01</t>
        </is>
      </c>
      <c r="D10" s="10" t="inlineStr">
        <is>
          <t>MP Cartão</t>
        </is>
      </c>
      <c r="E10" s="10" t="inlineStr">
        <is>
          <t>APPLE.COM/BILL</t>
        </is>
      </c>
      <c r="F10" s="10" t="inlineStr">
        <is>
          <t>Assinatura</t>
        </is>
      </c>
      <c r="G10" s="10" t="inlineStr">
        <is>
          <t>Assinaturas</t>
        </is>
      </c>
      <c r="H10" s="10" t="inlineStr">
        <is>
          <t>Estilo de Vida</t>
        </is>
      </c>
      <c r="I10" s="13" t="n">
        <v>-19.9</v>
      </c>
      <c r="J10" s="10" t="n"/>
      <c r="K10" s="10" t="inlineStr">
        <is>
          <t>BRL</t>
        </is>
      </c>
      <c r="L10" s="10" t="inlineStr">
        <is>
          <t>Despesa</t>
        </is>
      </c>
      <c r="M10" s="10" t="inlineStr">
        <is>
          <t>Fatura 2026-02</t>
        </is>
      </c>
    </row>
    <row r="11">
      <c r="A11" s="3" t="n">
        <v>6</v>
      </c>
      <c r="B11" s="4" t="n">
        <v>46035</v>
      </c>
      <c r="C11" s="5" t="inlineStr">
        <is>
          <t>2026-01</t>
        </is>
      </c>
      <c r="D11" s="5" t="inlineStr">
        <is>
          <t>MP Cartão</t>
        </is>
      </c>
      <c r="E11" s="5" t="inlineStr">
        <is>
          <t>MP*EDUARDOGIOVAN</t>
        </is>
      </c>
      <c r="F11" s="5" t="inlineStr">
        <is>
          <t>Outros</t>
        </is>
      </c>
      <c r="G11" s="5" t="inlineStr">
        <is>
          <t>Outros</t>
        </is>
      </c>
      <c r="H11" s="5" t="inlineStr">
        <is>
          <t>Administrativo</t>
        </is>
      </c>
      <c r="I11" s="14" t="n">
        <v>-0.78</v>
      </c>
      <c r="J11" s="5" t="n"/>
      <c r="K11" s="5" t="inlineStr">
        <is>
          <t>USD</t>
        </is>
      </c>
      <c r="L11" s="5" t="inlineStr">
        <is>
          <t>Despesa</t>
        </is>
      </c>
      <c r="M11" s="5" t="inlineStr">
        <is>
          <t>Fatura 2026-02</t>
        </is>
      </c>
    </row>
    <row r="12">
      <c r="A12" s="8" t="n">
        <v>7</v>
      </c>
      <c r="B12" s="9" t="n">
        <v>46036</v>
      </c>
      <c r="C12" s="10" t="inlineStr">
        <is>
          <t>2026-01</t>
        </is>
      </c>
      <c r="D12" s="10" t="inlineStr">
        <is>
          <t>MP Cartão</t>
        </is>
      </c>
      <c r="E12" s="10" t="inlineStr">
        <is>
          <t>Compra internacional em MANUS AI</t>
        </is>
      </c>
      <c r="F12" s="10" t="inlineStr">
        <is>
          <t>IA/Tecnologia</t>
        </is>
      </c>
      <c r="G12" s="10" t="inlineStr">
        <is>
          <t>Tecnologia/IA</t>
        </is>
      </c>
      <c r="H12" s="10" t="inlineStr">
        <is>
          <t>Estilo de Vida</t>
        </is>
      </c>
      <c r="I12" s="13" t="n">
        <v>-25.79</v>
      </c>
      <c r="J12" s="10" t="n"/>
      <c r="K12" s="10" t="inlineStr">
        <is>
          <t>USD</t>
        </is>
      </c>
      <c r="L12" s="10" t="inlineStr">
        <is>
          <t>Despesa</t>
        </is>
      </c>
      <c r="M12" s="10" t="inlineStr">
        <is>
          <t>Fatura 2026-02</t>
        </is>
      </c>
    </row>
    <row r="13">
      <c r="A13" s="3" t="n">
        <v>8</v>
      </c>
      <c r="B13" s="4" t="n">
        <v>46037</v>
      </c>
      <c r="C13" s="5" t="inlineStr">
        <is>
          <t>2026-01</t>
        </is>
      </c>
      <c r="D13" s="5" t="inlineStr">
        <is>
          <t>MP Cartão</t>
        </is>
      </c>
      <c r="E13" s="5" t="inlineStr">
        <is>
          <t>DL*Starlink Braz</t>
        </is>
      </c>
      <c r="F13" s="5" t="inlineStr">
        <is>
          <t>Internet</t>
        </is>
      </c>
      <c r="G13" s="5" t="inlineStr">
        <is>
          <t>Telecomunicações</t>
        </is>
      </c>
      <c r="H13" s="5" t="inlineStr">
        <is>
          <t>Essencial</t>
        </is>
      </c>
      <c r="I13" s="14" t="n">
        <v>-235.52</v>
      </c>
      <c r="J13" s="5" t="n"/>
      <c r="K13" s="5" t="inlineStr">
        <is>
          <t>BRL</t>
        </is>
      </c>
      <c r="L13" s="5" t="inlineStr">
        <is>
          <t>Despesa</t>
        </is>
      </c>
      <c r="M13" s="5" t="inlineStr">
        <is>
          <t>Fatura 2026-02</t>
        </is>
      </c>
    </row>
    <row r="14">
      <c r="A14" s="8" t="n">
        <v>9</v>
      </c>
      <c r="B14" s="9" t="n">
        <v>46038</v>
      </c>
      <c r="C14" s="10" t="inlineStr">
        <is>
          <t>2026-01</t>
        </is>
      </c>
      <c r="D14" s="10" t="inlineStr">
        <is>
          <t>MP Cartão</t>
        </is>
      </c>
      <c r="E14" s="10" t="inlineStr">
        <is>
          <t>MP*LOTERIASONLINEU1AQ</t>
        </is>
      </c>
      <c r="F14" s="10" t="inlineStr">
        <is>
          <t>Loteria</t>
        </is>
      </c>
      <c r="G14" s="10" t="inlineStr">
        <is>
          <t>Lazer</t>
        </is>
      </c>
      <c r="H14" s="10" t="inlineStr">
        <is>
          <t>Estilo de Vida</t>
        </is>
      </c>
      <c r="I14" s="13" t="n">
        <v>-143.6</v>
      </c>
      <c r="J14" s="10" t="n"/>
      <c r="K14" s="10" t="inlineStr">
        <is>
          <t>USD</t>
        </is>
      </c>
      <c r="L14" s="10" t="inlineStr">
        <is>
          <t>Despesa</t>
        </is>
      </c>
      <c r="M14" s="10" t="inlineStr">
        <is>
          <t>Fatura 2026-02</t>
        </is>
      </c>
    </row>
    <row r="15">
      <c r="A15" s="3" t="n">
        <v>10</v>
      </c>
      <c r="B15" s="4" t="n">
        <v>46038</v>
      </c>
      <c r="C15" s="5" t="inlineStr">
        <is>
          <t>2026-01</t>
        </is>
      </c>
      <c r="D15" s="5" t="inlineStr">
        <is>
          <t>MP Cartão</t>
        </is>
      </c>
      <c r="E15" s="5" t="inlineStr">
        <is>
          <t>IFD*FORMAGGIO RESTAURANTE</t>
        </is>
      </c>
      <c r="F15" s="5" t="inlineStr">
        <is>
          <t>Delivery/iFood</t>
        </is>
      </c>
      <c r="G15" s="5" t="inlineStr">
        <is>
          <t>Alimentação</t>
        </is>
      </c>
      <c r="H15" s="5" t="inlineStr">
        <is>
          <t>Essencial</t>
        </is>
      </c>
      <c r="I15" s="14" t="n">
        <v>-191.8</v>
      </c>
      <c r="J15" s="5" t="n"/>
      <c r="K15" s="5" t="inlineStr">
        <is>
          <t>USD</t>
        </is>
      </c>
      <c r="L15" s="5" t="inlineStr">
        <is>
          <t>Despesa</t>
        </is>
      </c>
      <c r="M15" s="5" t="inlineStr">
        <is>
          <t>Fatura 2026-02</t>
        </is>
      </c>
    </row>
    <row r="16">
      <c r="A16" s="8" t="n">
        <v>11</v>
      </c>
      <c r="B16" s="9" t="n">
        <v>46039</v>
      </c>
      <c r="C16" s="10" t="inlineStr">
        <is>
          <t>2026-01</t>
        </is>
      </c>
      <c r="D16" s="10" t="inlineStr">
        <is>
          <t>MP Cartão</t>
        </is>
      </c>
      <c r="E16" s="10" t="inlineStr">
        <is>
          <t>Compra internacional em OPENAI *CHATGPT SUBSCR</t>
        </is>
      </c>
      <c r="F16" s="10" t="inlineStr">
        <is>
          <t>IA/Tecnologia</t>
        </is>
      </c>
      <c r="G16" s="10" t="inlineStr">
        <is>
          <t>Tecnologia/IA</t>
        </is>
      </c>
      <c r="H16" s="10" t="inlineStr">
        <is>
          <t>Estilo de Vida</t>
        </is>
      </c>
      <c r="I16" s="13" t="n">
        <v>-111.37</v>
      </c>
      <c r="J16" s="10" t="n"/>
      <c r="K16" s="10" t="inlineStr">
        <is>
          <t>USD</t>
        </is>
      </c>
      <c r="L16" s="10" t="inlineStr">
        <is>
          <t>Despesa</t>
        </is>
      </c>
      <c r="M16" s="10" t="inlineStr">
        <is>
          <t>Fatura 2026-02</t>
        </is>
      </c>
    </row>
    <row r="17">
      <c r="A17" s="3" t="n">
        <v>12</v>
      </c>
      <c r="B17" s="4" t="n">
        <v>46039</v>
      </c>
      <c r="C17" s="5" t="inlineStr">
        <is>
          <t>2026-01</t>
        </is>
      </c>
      <c r="D17" s="5" t="inlineStr">
        <is>
          <t>MP Cartão</t>
        </is>
      </c>
      <c r="E17" s="5" t="inlineStr">
        <is>
          <t>MP*LOTERIASONLINE542V</t>
        </is>
      </c>
      <c r="F17" s="5" t="inlineStr">
        <is>
          <t>Loteria</t>
        </is>
      </c>
      <c r="G17" s="5" t="inlineStr">
        <is>
          <t>Lazer</t>
        </is>
      </c>
      <c r="H17" s="5" t="inlineStr">
        <is>
          <t>Estilo de Vida</t>
        </is>
      </c>
      <c r="I17" s="14" t="n">
        <v>-111</v>
      </c>
      <c r="J17" s="5" t="n"/>
      <c r="K17" s="5" t="inlineStr">
        <is>
          <t>USD</t>
        </is>
      </c>
      <c r="L17" s="5" t="inlineStr">
        <is>
          <t>Despesa</t>
        </is>
      </c>
      <c r="M17" s="5" t="inlineStr">
        <is>
          <t>Fatura 2026-02</t>
        </is>
      </c>
    </row>
    <row r="18">
      <c r="A18" s="8" t="n">
        <v>13</v>
      </c>
      <c r="B18" s="9" t="n">
        <v>46041</v>
      </c>
      <c r="C18" s="10" t="inlineStr">
        <is>
          <t>2026-01</t>
        </is>
      </c>
      <c r="D18" s="10" t="inlineStr">
        <is>
          <t>MP Cartão</t>
        </is>
      </c>
      <c r="E18" s="10" t="inlineStr">
        <is>
          <t>Compra internacional em LEMSQZY* PINEAPPLE-APP</t>
        </is>
      </c>
      <c r="F18" s="10" t="inlineStr">
        <is>
          <t>Assinatura</t>
        </is>
      </c>
      <c r="G18" s="10" t="inlineStr">
        <is>
          <t>Assinaturas</t>
        </is>
      </c>
      <c r="H18" s="10" t="inlineStr">
        <is>
          <t>Estilo de Vida</t>
        </is>
      </c>
      <c r="I18" s="13" t="n">
        <v>-111.11</v>
      </c>
      <c r="J18" s="10" t="n"/>
      <c r="K18" s="10" t="inlineStr">
        <is>
          <t>USD</t>
        </is>
      </c>
      <c r="L18" s="10" t="inlineStr">
        <is>
          <t>Despesa</t>
        </is>
      </c>
      <c r="M18" s="10" t="inlineStr">
        <is>
          <t>Fatura 2026-02</t>
        </is>
      </c>
    </row>
    <row r="19">
      <c r="A19" s="3" t="n">
        <v>14</v>
      </c>
      <c r="B19" s="4" t="n">
        <v>46043</v>
      </c>
      <c r="C19" s="5" t="inlineStr">
        <is>
          <t>2026-01</t>
        </is>
      </c>
      <c r="D19" s="5" t="inlineStr">
        <is>
          <t>MP Cartão</t>
        </is>
      </c>
      <c r="E19" s="5" t="inlineStr">
        <is>
          <t>Compra internacional em CLAUDE.AI SUBSCRIPTION</t>
        </is>
      </c>
      <c r="F19" s="5" t="inlineStr">
        <is>
          <t>IA/Tecnologia</t>
        </is>
      </c>
      <c r="G19" s="5" t="inlineStr">
        <is>
          <t>Tecnologia/IA</t>
        </is>
      </c>
      <c r="H19" s="5" t="inlineStr">
        <is>
          <t>Estilo de Vida</t>
        </is>
      </c>
      <c r="I19" s="14" t="n">
        <v>-1138.5</v>
      </c>
      <c r="J19" s="5" t="n"/>
      <c r="K19" s="5" t="inlineStr">
        <is>
          <t>USD</t>
        </is>
      </c>
      <c r="L19" s="5" t="inlineStr">
        <is>
          <t>Despesa</t>
        </is>
      </c>
      <c r="M19" s="5" t="inlineStr">
        <is>
          <t>Fatura 2026-02</t>
        </is>
      </c>
    </row>
    <row r="20">
      <c r="A20" s="8" t="n">
        <v>15</v>
      </c>
      <c r="B20" s="9" t="n">
        <v>46043</v>
      </c>
      <c r="C20" s="10" t="inlineStr">
        <is>
          <t>2026-01</t>
        </is>
      </c>
      <c r="D20" s="10" t="inlineStr">
        <is>
          <t>MP Cartão</t>
        </is>
      </c>
      <c r="E20" s="10" t="inlineStr">
        <is>
          <t>Compra internacional em MANUS AI</t>
        </is>
      </c>
      <c r="F20" s="10" t="inlineStr">
        <is>
          <t>IA/Tecnologia</t>
        </is>
      </c>
      <c r="G20" s="10" t="inlineStr">
        <is>
          <t>Tecnologia/IA</t>
        </is>
      </c>
      <c r="H20" s="10" t="inlineStr">
        <is>
          <t>Estilo de Vida</t>
        </is>
      </c>
      <c r="I20" s="13" t="n">
        <v>-556.83</v>
      </c>
      <c r="J20" s="10" t="n"/>
      <c r="K20" s="10" t="inlineStr">
        <is>
          <t>USD</t>
        </is>
      </c>
      <c r="L20" s="10" t="inlineStr">
        <is>
          <t>Despesa</t>
        </is>
      </c>
      <c r="M20" s="10" t="inlineStr">
        <is>
          <t>Fatura 2026-02</t>
        </is>
      </c>
    </row>
    <row r="21">
      <c r="A21" s="3" t="n">
        <v>173</v>
      </c>
      <c r="B21" s="4" t="n">
        <v>46048</v>
      </c>
      <c r="C21" s="5" t="inlineStr">
        <is>
          <t>2026-01</t>
        </is>
      </c>
      <c r="D21" s="5" t="inlineStr">
        <is>
          <t>BCB Câmbio</t>
        </is>
      </c>
      <c r="E21" s="5" t="inlineStr">
        <is>
          <t>Interactive Brokers</t>
        </is>
      </c>
      <c r="F21" s="5" t="inlineStr">
        <is>
          <t>91992 IB deposit</t>
        </is>
      </c>
      <c r="G21" s="5" t="inlineStr">
        <is>
          <t>Investimentos</t>
        </is>
      </c>
      <c r="H21" s="5" t="inlineStr">
        <is>
          <t>Financeiro</t>
        </is>
      </c>
      <c r="I21" s="6" t="n">
        <v>1071.22</v>
      </c>
      <c r="J21" s="7" t="n">
        <v>200</v>
      </c>
      <c r="K21" s="5" t="inlineStr">
        <is>
          <t>USD</t>
        </is>
      </c>
      <c r="L21" s="5" t="inlineStr">
        <is>
          <t>IB Deposit</t>
        </is>
      </c>
      <c r="M21" s="5" t="inlineStr">
        <is>
          <t>Rate 5.3561</t>
        </is>
      </c>
    </row>
    <row r="22">
      <c r="A22" s="8" t="n">
        <v>16</v>
      </c>
      <c r="B22" s="9" t="n">
        <v>46049</v>
      </c>
      <c r="C22" s="10" t="inlineStr">
        <is>
          <t>2026-01</t>
        </is>
      </c>
      <c r="D22" s="10" t="inlineStr">
        <is>
          <t>MP Cartão</t>
        </is>
      </c>
      <c r="E22" s="10" t="inlineStr">
        <is>
          <t>Compra internacional em RAYCAST.COM</t>
        </is>
      </c>
      <c r="F22" s="10" t="inlineStr">
        <is>
          <t>Outros</t>
        </is>
      </c>
      <c r="G22" s="10" t="inlineStr">
        <is>
          <t>Outros</t>
        </is>
      </c>
      <c r="H22" s="10" t="inlineStr">
        <is>
          <t>Administrativo</t>
        </is>
      </c>
      <c r="I22" s="13" t="n">
        <v>-524.63</v>
      </c>
      <c r="J22" s="10" t="n"/>
      <c r="K22" s="10" t="inlineStr">
        <is>
          <t>USD</t>
        </is>
      </c>
      <c r="L22" s="10" t="inlineStr">
        <is>
          <t>Despesa</t>
        </is>
      </c>
      <c r="M22" s="10" t="inlineStr">
        <is>
          <t>Fatura 2026-02</t>
        </is>
      </c>
    </row>
    <row r="23">
      <c r="A23" s="3" t="n">
        <v>174</v>
      </c>
      <c r="B23" s="4" t="n">
        <v>46049</v>
      </c>
      <c r="C23" s="5" t="inlineStr">
        <is>
          <t>2026-01</t>
        </is>
      </c>
      <c r="D23" s="5" t="inlineStr">
        <is>
          <t>BCB Câmbio</t>
        </is>
      </c>
      <c r="E23" s="5" t="inlineStr">
        <is>
          <t>USA - Own Account</t>
        </is>
      </c>
      <c r="F23" s="5" t="inlineStr">
        <is>
          <t>67995 Self-transfer</t>
        </is>
      </c>
      <c r="G23" s="5" t="inlineStr">
        <is>
          <t>FX / Remessa</t>
        </is>
      </c>
      <c r="H23" s="5" t="inlineStr">
        <is>
          <t>Financeiro</t>
        </is>
      </c>
      <c r="I23" s="14" t="n">
        <v>-15886.01</v>
      </c>
      <c r="J23" s="7" t="n">
        <v>3000</v>
      </c>
      <c r="K23" s="5" t="inlineStr">
        <is>
          <t>USD</t>
        </is>
      </c>
      <c r="L23" s="5" t="inlineStr">
        <is>
          <t>Outbound</t>
        </is>
      </c>
      <c r="M23" s="5" t="inlineStr">
        <is>
          <t>Rate 5.2953</t>
        </is>
      </c>
    </row>
    <row r="24">
      <c r="A24" s="8" t="n">
        <v>17</v>
      </c>
      <c r="B24" s="9" t="n">
        <v>46050</v>
      </c>
      <c r="C24" s="10" t="inlineStr">
        <is>
          <t>2026-01</t>
        </is>
      </c>
      <c r="D24" s="10" t="inlineStr">
        <is>
          <t>MP Cartão</t>
        </is>
      </c>
      <c r="E24" s="10" t="inlineStr">
        <is>
          <t>IFD*34531468 EDWIN LEI</t>
        </is>
      </c>
      <c r="F24" s="10" t="inlineStr">
        <is>
          <t>Delivery/iFood</t>
        </is>
      </c>
      <c r="G24" s="10" t="inlineStr">
        <is>
          <t>Alimentação</t>
        </is>
      </c>
      <c r="H24" s="10" t="inlineStr">
        <is>
          <t>Essencial</t>
        </is>
      </c>
      <c r="I24" s="13" t="n">
        <v>-55.8</v>
      </c>
      <c r="J24" s="10" t="n"/>
      <c r="K24" s="10" t="inlineStr">
        <is>
          <t>BRL</t>
        </is>
      </c>
      <c r="L24" s="10" t="inlineStr">
        <is>
          <t>Despesa</t>
        </is>
      </c>
      <c r="M24" s="10" t="inlineStr">
        <is>
          <t>Fatura 2026-02</t>
        </is>
      </c>
    </row>
    <row r="25">
      <c r="A25" s="3" t="n">
        <v>18</v>
      </c>
      <c r="B25" s="4" t="n">
        <v>46052</v>
      </c>
      <c r="C25" s="5" t="inlineStr">
        <is>
          <t>2026-01</t>
        </is>
      </c>
      <c r="D25" s="5" t="inlineStr">
        <is>
          <t>MP Cartão</t>
        </is>
      </c>
      <c r="E25" s="5" t="inlineStr">
        <is>
          <t>APPLE.COM/BILL</t>
        </is>
      </c>
      <c r="F25" s="5" t="inlineStr">
        <is>
          <t>Assinatura</t>
        </is>
      </c>
      <c r="G25" s="5" t="inlineStr">
        <is>
          <t>Assinaturas</t>
        </is>
      </c>
      <c r="H25" s="5" t="inlineStr">
        <is>
          <t>Estilo de Vida</t>
        </is>
      </c>
      <c r="I25" s="14" t="n">
        <v>-99.90000000000001</v>
      </c>
      <c r="J25" s="5" t="n"/>
      <c r="K25" s="5" t="inlineStr">
        <is>
          <t>USD</t>
        </is>
      </c>
      <c r="L25" s="5" t="inlineStr">
        <is>
          <t>Despesa</t>
        </is>
      </c>
      <c r="M25" s="5" t="inlineStr">
        <is>
          <t>Fatura 2026-02</t>
        </is>
      </c>
    </row>
    <row r="26">
      <c r="A26" s="8" t="n">
        <v>175</v>
      </c>
      <c r="B26" s="9" t="n">
        <v>46052</v>
      </c>
      <c r="C26" s="10" t="inlineStr">
        <is>
          <t>2026-01</t>
        </is>
      </c>
      <c r="D26" s="10" t="inlineStr">
        <is>
          <t>BCB Câmbio</t>
        </is>
      </c>
      <c r="E26" s="10" t="inlineStr">
        <is>
          <t>USA - Own Account</t>
        </is>
      </c>
      <c r="F26" s="10" t="inlineStr">
        <is>
          <t>67995 Self-transfer</t>
        </is>
      </c>
      <c r="G26" s="10" t="inlineStr">
        <is>
          <t>FX / Remessa</t>
        </is>
      </c>
      <c r="H26" s="10" t="inlineStr">
        <is>
          <t>Financeiro</t>
        </is>
      </c>
      <c r="I26" s="13" t="n">
        <v>-16063.89</v>
      </c>
      <c r="J26" s="12" t="n">
        <v>3000</v>
      </c>
      <c r="K26" s="10" t="inlineStr">
        <is>
          <t>USD</t>
        </is>
      </c>
      <c r="L26" s="10" t="inlineStr">
        <is>
          <t>Outbound</t>
        </is>
      </c>
      <c r="M26" s="10" t="inlineStr">
        <is>
          <t>Rate 5.3546</t>
        </is>
      </c>
    </row>
    <row r="27">
      <c r="A27" s="3" t="n">
        <v>19</v>
      </c>
      <c r="B27" s="4" t="n">
        <v>46056</v>
      </c>
      <c r="C27" s="5" t="inlineStr">
        <is>
          <t>2026-02</t>
        </is>
      </c>
      <c r="D27" s="5" t="inlineStr">
        <is>
          <t>MP Cartão</t>
        </is>
      </c>
      <c r="E27" s="5" t="inlineStr">
        <is>
          <t>Compra internacional em DESKTOP COMMANDER</t>
        </is>
      </c>
      <c r="F27" s="5" t="inlineStr">
        <is>
          <t>Outros</t>
        </is>
      </c>
      <c r="G27" s="5" t="inlineStr">
        <is>
          <t>Outros</t>
        </is>
      </c>
      <c r="H27" s="5" t="inlineStr">
        <is>
          <t>Administrativo</t>
        </is>
      </c>
      <c r="I27" s="14" t="n">
        <v>-272.21</v>
      </c>
      <c r="J27" s="5" t="n"/>
      <c r="K27" s="5" t="inlineStr">
        <is>
          <t>USD</t>
        </is>
      </c>
      <c r="L27" s="5" t="inlineStr">
        <is>
          <t>Despesa</t>
        </is>
      </c>
      <c r="M27" s="5" t="inlineStr">
        <is>
          <t>Fatura 2026-02</t>
        </is>
      </c>
    </row>
    <row r="28">
      <c r="A28" s="8" t="n">
        <v>20</v>
      </c>
      <c r="B28" s="9" t="n">
        <v>46057</v>
      </c>
      <c r="C28" s="10" t="inlineStr">
        <is>
          <t>2026-02</t>
        </is>
      </c>
      <c r="D28" s="10" t="inlineStr">
        <is>
          <t>MP Cartão</t>
        </is>
      </c>
      <c r="E28" s="10" t="inlineStr">
        <is>
          <t>MP*LOTERIASONLINEM4UQ</t>
        </is>
      </c>
      <c r="F28" s="10" t="inlineStr">
        <is>
          <t>Loteria</t>
        </is>
      </c>
      <c r="G28" s="10" t="inlineStr">
        <is>
          <t>Lazer</t>
        </is>
      </c>
      <c r="H28" s="10" t="inlineStr">
        <is>
          <t>Estilo de Vida</t>
        </is>
      </c>
      <c r="I28" s="13" t="n">
        <v>-168</v>
      </c>
      <c r="J28" s="10" t="n"/>
      <c r="K28" s="10" t="inlineStr">
        <is>
          <t>BRL</t>
        </is>
      </c>
      <c r="L28" s="10" t="inlineStr">
        <is>
          <t>Despesa</t>
        </is>
      </c>
      <c r="M28" s="10" t="inlineStr">
        <is>
          <t>Fatura 2026-02</t>
        </is>
      </c>
    </row>
    <row r="29">
      <c r="A29" s="3" t="n">
        <v>21</v>
      </c>
      <c r="B29" s="4" t="n">
        <v>46058</v>
      </c>
      <c r="C29" s="5" t="inlineStr">
        <is>
          <t>2026-02</t>
        </is>
      </c>
      <c r="D29" s="5" t="inlineStr">
        <is>
          <t>MP Cartão</t>
        </is>
      </c>
      <c r="E29" s="5" t="inlineStr">
        <is>
          <t>MP*LOTERIASONLINEYY48</t>
        </is>
      </c>
      <c r="F29" s="5" t="inlineStr">
        <is>
          <t>Loteria</t>
        </is>
      </c>
      <c r="G29" s="5" t="inlineStr">
        <is>
          <t>Lazer</t>
        </is>
      </c>
      <c r="H29" s="5" t="inlineStr">
        <is>
          <t>Estilo de Vida</t>
        </is>
      </c>
      <c r="I29" s="14" t="n">
        <v>-84</v>
      </c>
      <c r="J29" s="5" t="n"/>
      <c r="K29" s="5" t="inlineStr">
        <is>
          <t>BRL</t>
        </is>
      </c>
      <c r="L29" s="5" t="inlineStr">
        <is>
          <t>Despesa</t>
        </is>
      </c>
      <c r="M29" s="5" t="inlineStr">
        <is>
          <t>Fatura 2026-02</t>
        </is>
      </c>
    </row>
    <row r="30">
      <c r="A30" s="8" t="n">
        <v>22</v>
      </c>
      <c r="B30" s="9" t="n">
        <v>46058</v>
      </c>
      <c r="C30" s="10" t="inlineStr">
        <is>
          <t>2026-02</t>
        </is>
      </c>
      <c r="D30" s="10" t="inlineStr">
        <is>
          <t>MP Cartão</t>
        </is>
      </c>
      <c r="E30" s="10" t="inlineStr">
        <is>
          <t>Compra internacional em OPENAI *CHATGPT SUBSCR</t>
        </is>
      </c>
      <c r="F30" s="10" t="inlineStr">
        <is>
          <t>IA/Tecnologia</t>
        </is>
      </c>
      <c r="G30" s="10" t="inlineStr">
        <is>
          <t>Tecnologia/IA</t>
        </is>
      </c>
      <c r="H30" s="10" t="inlineStr">
        <is>
          <t>Estilo de Vida</t>
        </is>
      </c>
      <c r="I30" s="13" t="n">
        <v>-108.89</v>
      </c>
      <c r="J30" s="10" t="n"/>
      <c r="K30" s="10" t="inlineStr">
        <is>
          <t>USD</t>
        </is>
      </c>
      <c r="L30" s="10" t="inlineStr">
        <is>
          <t>Despesa</t>
        </is>
      </c>
      <c r="M30" s="10" t="inlineStr">
        <is>
          <t>Fatura 2026-03</t>
        </is>
      </c>
    </row>
    <row r="31">
      <c r="A31" s="3" t="n">
        <v>23</v>
      </c>
      <c r="B31" s="4" t="n">
        <v>46061</v>
      </c>
      <c r="C31" s="5" t="inlineStr">
        <is>
          <t>2026-02</t>
        </is>
      </c>
      <c r="D31" s="5" t="inlineStr">
        <is>
          <t>MP Cartão</t>
        </is>
      </c>
      <c r="E31" s="5" t="inlineStr">
        <is>
          <t>APPLECOMBILL</t>
        </is>
      </c>
      <c r="F31" s="5" t="inlineStr">
        <is>
          <t>Assinatura</t>
        </is>
      </c>
      <c r="G31" s="5" t="inlineStr">
        <is>
          <t>Assinaturas</t>
        </is>
      </c>
      <c r="H31" s="5" t="inlineStr">
        <is>
          <t>Estilo de Vida</t>
        </is>
      </c>
      <c r="I31" s="14" t="n">
        <v>-21.9</v>
      </c>
      <c r="J31" s="5" t="n"/>
      <c r="K31" s="5" t="inlineStr">
        <is>
          <t>BRL</t>
        </is>
      </c>
      <c r="L31" s="5" t="inlineStr">
        <is>
          <t>Despesa</t>
        </is>
      </c>
      <c r="M31" s="5" t="inlineStr">
        <is>
          <t>Fatura 2026-03</t>
        </is>
      </c>
    </row>
    <row r="32">
      <c r="A32" s="8" t="n">
        <v>24</v>
      </c>
      <c r="B32" s="9" t="n">
        <v>46062</v>
      </c>
      <c r="C32" s="10" t="inlineStr">
        <is>
          <t>2026-02</t>
        </is>
      </c>
      <c r="D32" s="10" t="inlineStr">
        <is>
          <t>MP Cartão</t>
        </is>
      </c>
      <c r="E32" s="10" t="inlineStr">
        <is>
          <t>MP*LOTERIASONLINEBFN5</t>
        </is>
      </c>
      <c r="F32" s="10" t="inlineStr">
        <is>
          <t>Loteria</t>
        </is>
      </c>
      <c r="G32" s="10" t="inlineStr">
        <is>
          <t>Lazer</t>
        </is>
      </c>
      <c r="H32" s="10" t="inlineStr">
        <is>
          <t>Estilo de Vida</t>
        </is>
      </c>
      <c r="I32" s="13" t="n">
        <v>-150</v>
      </c>
      <c r="J32" s="10" t="n"/>
      <c r="K32" s="10" t="inlineStr">
        <is>
          <t>BRL</t>
        </is>
      </c>
      <c r="L32" s="10" t="inlineStr">
        <is>
          <t>Despesa</t>
        </is>
      </c>
      <c r="M32" s="10" t="inlineStr">
        <is>
          <t>Fatura 2026-03</t>
        </is>
      </c>
    </row>
    <row r="33">
      <c r="A33" s="3" t="n">
        <v>176</v>
      </c>
      <c r="B33" s="4" t="n">
        <v>46062</v>
      </c>
      <c r="C33" s="5" t="inlineStr">
        <is>
          <t>2026-02</t>
        </is>
      </c>
      <c r="D33" s="5" t="inlineStr">
        <is>
          <t>BCB Câmbio</t>
        </is>
      </c>
      <c r="E33" s="5" t="inlineStr">
        <is>
          <t>USA - Own Account</t>
        </is>
      </c>
      <c r="F33" s="5" t="inlineStr">
        <is>
          <t>67995 Self-transfer</t>
        </is>
      </c>
      <c r="G33" s="5" t="inlineStr">
        <is>
          <t>FX / Remessa</t>
        </is>
      </c>
      <c r="H33" s="5" t="inlineStr">
        <is>
          <t>Financeiro</t>
        </is>
      </c>
      <c r="I33" s="14" t="n">
        <v>-15868.79</v>
      </c>
      <c r="J33" s="7" t="n">
        <v>3000</v>
      </c>
      <c r="K33" s="5" t="inlineStr">
        <is>
          <t>USD</t>
        </is>
      </c>
      <c r="L33" s="5" t="inlineStr">
        <is>
          <t>Outbound</t>
        </is>
      </c>
      <c r="M33" s="5" t="inlineStr">
        <is>
          <t>Rate 5.2896</t>
        </is>
      </c>
    </row>
    <row r="34">
      <c r="A34" s="8" t="n">
        <v>25</v>
      </c>
      <c r="B34" s="9" t="n">
        <v>46063</v>
      </c>
      <c r="C34" s="10" t="inlineStr">
        <is>
          <t>2026-02</t>
        </is>
      </c>
      <c r="D34" s="10" t="inlineStr">
        <is>
          <t>MP Cartão</t>
        </is>
      </c>
      <c r="E34" s="10" t="inlineStr">
        <is>
          <t>APPLECOMBILL</t>
        </is>
      </c>
      <c r="F34" s="10" t="inlineStr">
        <is>
          <t>Assinatura</t>
        </is>
      </c>
      <c r="G34" s="10" t="inlineStr">
        <is>
          <t>Assinaturas</t>
        </is>
      </c>
      <c r="H34" s="10" t="inlineStr">
        <is>
          <t>Estilo de Vida</t>
        </is>
      </c>
      <c r="I34" s="13" t="n">
        <v>-19.9</v>
      </c>
      <c r="J34" s="10" t="n"/>
      <c r="K34" s="10" t="inlineStr">
        <is>
          <t>USD</t>
        </is>
      </c>
      <c r="L34" s="10" t="inlineStr">
        <is>
          <t>Despesa</t>
        </is>
      </c>
      <c r="M34" s="10" t="inlineStr">
        <is>
          <t>Fatura 2026-03</t>
        </is>
      </c>
    </row>
    <row r="35">
      <c r="A35" s="3" t="n">
        <v>26</v>
      </c>
      <c r="B35" s="4" t="n">
        <v>46064</v>
      </c>
      <c r="C35" s="5" t="inlineStr">
        <is>
          <t>2026-02</t>
        </is>
      </c>
      <c r="D35" s="5" t="inlineStr">
        <is>
          <t>MP Cartão</t>
        </is>
      </c>
      <c r="E35" s="5" t="inlineStr">
        <is>
          <t>MERCADOLIVRE*3PRODUTOS</t>
        </is>
      </c>
      <c r="F35" s="5" t="inlineStr">
        <is>
          <t>Compras/ML</t>
        </is>
      </c>
      <c r="G35" s="5" t="inlineStr">
        <is>
          <t>Compras/ML</t>
        </is>
      </c>
      <c r="H35" s="5" t="inlineStr">
        <is>
          <t>Outros</t>
        </is>
      </c>
      <c r="I35" s="14" t="n">
        <v>-6282.36</v>
      </c>
      <c r="J35" s="5" t="n"/>
      <c r="K35" s="5" t="inlineStr">
        <is>
          <t>BRL</t>
        </is>
      </c>
      <c r="L35" s="5" t="inlineStr">
        <is>
          <t>Despesa</t>
        </is>
      </c>
      <c r="M35" s="5" t="inlineStr">
        <is>
          <t>Fatura 2026-03</t>
        </is>
      </c>
    </row>
    <row r="36">
      <c r="A36" s="8" t="n">
        <v>172</v>
      </c>
      <c r="B36" s="9" t="n">
        <v>46064</v>
      </c>
      <c r="C36" s="10" t="inlineStr">
        <is>
          <t>2026-02</t>
        </is>
      </c>
      <c r="D36" s="10" t="inlineStr">
        <is>
          <t>Banco Inter</t>
        </is>
      </c>
      <c r="E36" s="10" t="inlineStr">
        <is>
          <t>Eduardo F Giovannini</t>
        </is>
      </c>
      <c r="F36" s="10" t="inlineStr">
        <is>
          <t>PIX In</t>
        </is>
      </c>
      <c r="G36" s="10" t="inlineStr">
        <is>
          <t>Entrada PIX</t>
        </is>
      </c>
      <c r="H36" s="10" t="inlineStr">
        <is>
          <t>Movimentação</t>
        </is>
      </c>
      <c r="I36" s="11" t="n">
        <v>40000</v>
      </c>
      <c r="J36" s="10" t="n"/>
      <c r="K36" s="10" t="inlineStr">
        <is>
          <t>BRL</t>
        </is>
      </c>
      <c r="L36" s="10" t="inlineStr">
        <is>
          <t>Receita</t>
        </is>
      </c>
      <c r="M36" s="10" t="inlineStr"/>
    </row>
    <row r="37">
      <c r="A37" s="3" t="n">
        <v>177</v>
      </c>
      <c r="B37" s="4" t="n">
        <v>46064</v>
      </c>
      <c r="C37" s="5" t="inlineStr">
        <is>
          <t>2026-02</t>
        </is>
      </c>
      <c r="D37" s="5" t="inlineStr">
        <is>
          <t>BCB Câmbio</t>
        </is>
      </c>
      <c r="E37" s="5" t="inlineStr">
        <is>
          <t>USA - Own Account</t>
        </is>
      </c>
      <c r="F37" s="5" t="inlineStr">
        <is>
          <t>67995 Self-transfer</t>
        </is>
      </c>
      <c r="G37" s="5" t="inlineStr">
        <is>
          <t>FX / Remessa</t>
        </is>
      </c>
      <c r="H37" s="5" t="inlineStr">
        <is>
          <t>Financeiro</t>
        </is>
      </c>
      <c r="I37" s="14" t="n">
        <v>-15789.96</v>
      </c>
      <c r="J37" s="7" t="n">
        <v>3000</v>
      </c>
      <c r="K37" s="5" t="inlineStr">
        <is>
          <t>USD</t>
        </is>
      </c>
      <c r="L37" s="5" t="inlineStr">
        <is>
          <t>Outbound</t>
        </is>
      </c>
      <c r="M37" s="5" t="inlineStr">
        <is>
          <t>Rate 5.2633</t>
        </is>
      </c>
    </row>
    <row r="38">
      <c r="A38" s="8" t="n">
        <v>27</v>
      </c>
      <c r="B38" s="9" t="n">
        <v>46067</v>
      </c>
      <c r="C38" s="10" t="inlineStr">
        <is>
          <t>2026-02</t>
        </is>
      </c>
      <c r="D38" s="10" t="inlineStr">
        <is>
          <t>MP Cartão</t>
        </is>
      </c>
      <c r="E38" s="10" t="inlineStr">
        <is>
          <t>Compra internacional em ANTHROPIC</t>
        </is>
      </c>
      <c r="F38" s="10" t="inlineStr">
        <is>
          <t>IA/Tecnologia</t>
        </is>
      </c>
      <c r="G38" s="10" t="inlineStr">
        <is>
          <t>Tecnologia/IA</t>
        </is>
      </c>
      <c r="H38" s="10" t="inlineStr">
        <is>
          <t>Estilo de Vida</t>
        </is>
      </c>
      <c r="I38" s="13" t="n">
        <v>-51.75</v>
      </c>
      <c r="J38" s="10" t="n"/>
      <c r="K38" s="10" t="inlineStr">
        <is>
          <t>USD</t>
        </is>
      </c>
      <c r="L38" s="10" t="inlineStr">
        <is>
          <t>Despesa</t>
        </is>
      </c>
      <c r="M38" s="10" t="inlineStr">
        <is>
          <t>Fatura 2026-03</t>
        </is>
      </c>
    </row>
    <row r="39">
      <c r="A39" s="3" t="n">
        <v>28</v>
      </c>
      <c r="B39" s="4" t="n">
        <v>46067</v>
      </c>
      <c r="C39" s="5" t="inlineStr">
        <is>
          <t>2026-02</t>
        </is>
      </c>
      <c r="D39" s="5" t="inlineStr">
        <is>
          <t>MP Cartão</t>
        </is>
      </c>
      <c r="E39" s="5" t="inlineStr">
        <is>
          <t>MP*LOTERIASONLINEO4M4</t>
        </is>
      </c>
      <c r="F39" s="5" t="inlineStr">
        <is>
          <t>Loteria</t>
        </is>
      </c>
      <c r="G39" s="5" t="inlineStr">
        <is>
          <t>Lazer</t>
        </is>
      </c>
      <c r="H39" s="5" t="inlineStr">
        <is>
          <t>Estilo de Vida</t>
        </is>
      </c>
      <c r="I39" s="14" t="n">
        <v>-206</v>
      </c>
      <c r="J39" s="5" t="n"/>
      <c r="K39" s="5" t="inlineStr">
        <is>
          <t>USD</t>
        </is>
      </c>
      <c r="L39" s="5" t="inlineStr">
        <is>
          <t>Despesa</t>
        </is>
      </c>
      <c r="M39" s="5" t="inlineStr">
        <is>
          <t>Fatura 2026-03</t>
        </is>
      </c>
    </row>
    <row r="40">
      <c r="A40" s="8" t="n">
        <v>29</v>
      </c>
      <c r="B40" s="9" t="n">
        <v>46067</v>
      </c>
      <c r="C40" s="10" t="inlineStr">
        <is>
          <t>2026-02</t>
        </is>
      </c>
      <c r="D40" s="10" t="inlineStr">
        <is>
          <t>MP Cartão</t>
        </is>
      </c>
      <c r="E40" s="10" t="inlineStr">
        <is>
          <t>MP*LOTERIASONLINEOBUG</t>
        </is>
      </c>
      <c r="F40" s="10" t="inlineStr">
        <is>
          <t>Loteria</t>
        </is>
      </c>
      <c r="G40" s="10" t="inlineStr">
        <is>
          <t>Lazer</t>
        </is>
      </c>
      <c r="H40" s="10" t="inlineStr">
        <is>
          <t>Estilo de Vida</t>
        </is>
      </c>
      <c r="I40" s="13" t="n">
        <v>-168</v>
      </c>
      <c r="J40" s="10" t="n"/>
      <c r="K40" s="10" t="inlineStr">
        <is>
          <t>USD</t>
        </is>
      </c>
      <c r="L40" s="10" t="inlineStr">
        <is>
          <t>Despesa</t>
        </is>
      </c>
      <c r="M40" s="10" t="inlineStr">
        <is>
          <t>Fatura 2026-03</t>
        </is>
      </c>
    </row>
    <row r="41">
      <c r="A41" s="3" t="n">
        <v>30</v>
      </c>
      <c r="B41" s="4" t="n">
        <v>46069</v>
      </c>
      <c r="C41" s="5" t="inlineStr">
        <is>
          <t>2026-02</t>
        </is>
      </c>
      <c r="D41" s="5" t="inlineStr">
        <is>
          <t>MP Cartão</t>
        </is>
      </c>
      <c r="E41" s="5" t="inlineStr">
        <is>
          <t>DL *Starlink Brazil</t>
        </is>
      </c>
      <c r="F41" s="5" t="inlineStr">
        <is>
          <t>Internet</t>
        </is>
      </c>
      <c r="G41" s="5" t="inlineStr">
        <is>
          <t>Telecomunicações</t>
        </is>
      </c>
      <c r="H41" s="5" t="inlineStr">
        <is>
          <t>Essencial</t>
        </is>
      </c>
      <c r="I41" s="14" t="n">
        <v>-235.52</v>
      </c>
      <c r="J41" s="5" t="n"/>
      <c r="K41" s="5" t="inlineStr">
        <is>
          <t>USD</t>
        </is>
      </c>
      <c r="L41" s="5" t="inlineStr">
        <is>
          <t>Despesa</t>
        </is>
      </c>
      <c r="M41" s="5" t="inlineStr">
        <is>
          <t>Fatura 2026-03</t>
        </is>
      </c>
    </row>
    <row r="42">
      <c r="A42" s="8" t="n">
        <v>31</v>
      </c>
      <c r="B42" s="9" t="n">
        <v>46070</v>
      </c>
      <c r="C42" s="10" t="inlineStr">
        <is>
          <t>2026-02</t>
        </is>
      </c>
      <c r="D42" s="10" t="inlineStr">
        <is>
          <t>MP Cartão</t>
        </is>
      </c>
      <c r="E42" s="10" t="inlineStr">
        <is>
          <t>Compra internacional em OPENAI *CHATGPT SUBSCR</t>
        </is>
      </c>
      <c r="F42" s="10" t="inlineStr">
        <is>
          <t>IA/Tecnologia</t>
        </is>
      </c>
      <c r="G42" s="10" t="inlineStr">
        <is>
          <t>Tecnologia/IA</t>
        </is>
      </c>
      <c r="H42" s="10" t="inlineStr">
        <is>
          <t>Estilo de Vida</t>
        </is>
      </c>
      <c r="I42" s="13" t="n">
        <v>-108.27</v>
      </c>
      <c r="J42" s="10" t="n"/>
      <c r="K42" s="10" t="inlineStr">
        <is>
          <t>USD</t>
        </is>
      </c>
      <c r="L42" s="10" t="inlineStr">
        <is>
          <t>Despesa</t>
        </is>
      </c>
      <c r="M42" s="10" t="inlineStr">
        <is>
          <t>Fatura 2026-03</t>
        </is>
      </c>
    </row>
    <row r="43">
      <c r="A43" s="3" t="n">
        <v>32</v>
      </c>
      <c r="B43" s="4" t="n">
        <v>46071</v>
      </c>
      <c r="C43" s="5" t="inlineStr">
        <is>
          <t>2026-02</t>
        </is>
      </c>
      <c r="D43" s="5" t="inlineStr">
        <is>
          <t>MP Cartão</t>
        </is>
      </c>
      <c r="E43" s="5" t="inlineStr">
        <is>
          <t>MP*LOTERIASONLINEFEG2</t>
        </is>
      </c>
      <c r="F43" s="5" t="inlineStr">
        <is>
          <t>Loteria</t>
        </is>
      </c>
      <c r="G43" s="5" t="inlineStr">
        <is>
          <t>Lazer</t>
        </is>
      </c>
      <c r="H43" s="5" t="inlineStr">
        <is>
          <t>Estilo de Vida</t>
        </is>
      </c>
      <c r="I43" s="14" t="n">
        <v>-168</v>
      </c>
      <c r="J43" s="5" t="n"/>
      <c r="K43" s="5" t="inlineStr">
        <is>
          <t>BRL</t>
        </is>
      </c>
      <c r="L43" s="5" t="inlineStr">
        <is>
          <t>Despesa</t>
        </is>
      </c>
      <c r="M43" s="5" t="inlineStr">
        <is>
          <t>Fatura 2026-03</t>
        </is>
      </c>
    </row>
    <row r="44">
      <c r="A44" s="8" t="n">
        <v>33</v>
      </c>
      <c r="B44" s="9" t="n">
        <v>46074</v>
      </c>
      <c r="C44" s="10" t="inlineStr">
        <is>
          <t>2026-02</t>
        </is>
      </c>
      <c r="D44" s="10" t="inlineStr">
        <is>
          <t>MP Cartão</t>
        </is>
      </c>
      <c r="E44" s="10" t="inlineStr">
        <is>
          <t>MP*LOTERIASONLINEU2WR</t>
        </is>
      </c>
      <c r="F44" s="10" t="inlineStr">
        <is>
          <t>Loteria</t>
        </is>
      </c>
      <c r="G44" s="10" t="inlineStr">
        <is>
          <t>Lazer</t>
        </is>
      </c>
      <c r="H44" s="10" t="inlineStr">
        <is>
          <t>Estilo de Vida</t>
        </is>
      </c>
      <c r="I44" s="13" t="n">
        <v>-168</v>
      </c>
      <c r="J44" s="10" t="n"/>
      <c r="K44" s="10" t="inlineStr">
        <is>
          <t>USD</t>
        </is>
      </c>
      <c r="L44" s="10" t="inlineStr">
        <is>
          <t>Despesa</t>
        </is>
      </c>
      <c r="M44" s="10" t="inlineStr">
        <is>
          <t>Fatura 2026-03</t>
        </is>
      </c>
    </row>
    <row r="45">
      <c r="A45" s="3" t="n">
        <v>34</v>
      </c>
      <c r="B45" s="4" t="n">
        <v>46074</v>
      </c>
      <c r="C45" s="5" t="inlineStr">
        <is>
          <t>2026-02</t>
        </is>
      </c>
      <c r="D45" s="5" t="inlineStr">
        <is>
          <t>MP Cartão</t>
        </is>
      </c>
      <c r="E45" s="5" t="inlineStr">
        <is>
          <t>MP*LOTERIASONLINEQXFX</t>
        </is>
      </c>
      <c r="F45" s="5" t="inlineStr">
        <is>
          <t>Loteria</t>
        </is>
      </c>
      <c r="G45" s="5" t="inlineStr">
        <is>
          <t>Lazer</t>
        </is>
      </c>
      <c r="H45" s="5" t="inlineStr">
        <is>
          <t>Estilo de Vida</t>
        </is>
      </c>
      <c r="I45" s="14" t="n">
        <v>-238</v>
      </c>
      <c r="J45" s="5" t="n"/>
      <c r="K45" s="5" t="inlineStr">
        <is>
          <t>USD</t>
        </is>
      </c>
      <c r="L45" s="5" t="inlineStr">
        <is>
          <t>Despesa</t>
        </is>
      </c>
      <c r="M45" s="5" t="inlineStr">
        <is>
          <t>Fatura 2026-03</t>
        </is>
      </c>
    </row>
    <row r="46">
      <c r="A46" s="8" t="n">
        <v>35</v>
      </c>
      <c r="B46" s="9" t="n">
        <v>46074</v>
      </c>
      <c r="C46" s="10" t="inlineStr">
        <is>
          <t>2026-02</t>
        </is>
      </c>
      <c r="D46" s="10" t="inlineStr">
        <is>
          <t>MP Cartão</t>
        </is>
      </c>
      <c r="E46" s="10" t="inlineStr">
        <is>
          <t>Compra internacional em MANUS AI</t>
        </is>
      </c>
      <c r="F46" s="10" t="inlineStr">
        <is>
          <t>IA/Tecnologia</t>
        </is>
      </c>
      <c r="G46" s="10" t="inlineStr">
        <is>
          <t>Tecnologia/IA</t>
        </is>
      </c>
      <c r="H46" s="10" t="inlineStr">
        <is>
          <t>Estilo de Vida</t>
        </is>
      </c>
      <c r="I46" s="13" t="n">
        <v>-538.2</v>
      </c>
      <c r="J46" s="10" t="n"/>
      <c r="K46" s="10" t="inlineStr">
        <is>
          <t>USD</t>
        </is>
      </c>
      <c r="L46" s="10" t="inlineStr">
        <is>
          <t>Despesa</t>
        </is>
      </c>
      <c r="M46" s="10" t="inlineStr">
        <is>
          <t>Fatura 2026-03</t>
        </is>
      </c>
    </row>
    <row r="47">
      <c r="A47" s="3" t="n">
        <v>36</v>
      </c>
      <c r="B47" s="4" t="n">
        <v>46076</v>
      </c>
      <c r="C47" s="5" t="inlineStr">
        <is>
          <t>2026-02</t>
        </is>
      </c>
      <c r="D47" s="5" t="inlineStr">
        <is>
          <t>MP Cartão</t>
        </is>
      </c>
      <c r="E47" s="5" t="inlineStr">
        <is>
          <t>MP*LOTERIASONLINEEIG7</t>
        </is>
      </c>
      <c r="F47" s="5" t="inlineStr">
        <is>
          <t>Loteria</t>
        </is>
      </c>
      <c r="G47" s="5" t="inlineStr">
        <is>
          <t>Lazer</t>
        </is>
      </c>
      <c r="H47" s="5" t="inlineStr">
        <is>
          <t>Estilo de Vida</t>
        </is>
      </c>
      <c r="I47" s="14" t="n">
        <v>-140</v>
      </c>
      <c r="J47" s="5" t="n"/>
      <c r="K47" s="5" t="inlineStr">
        <is>
          <t>BRL</t>
        </is>
      </c>
      <c r="L47" s="5" t="inlineStr">
        <is>
          <t>Despesa</t>
        </is>
      </c>
      <c r="M47" s="5" t="inlineStr">
        <is>
          <t>Fatura 2026-03</t>
        </is>
      </c>
    </row>
    <row r="48">
      <c r="A48" s="8" t="n">
        <v>37</v>
      </c>
      <c r="B48" s="9" t="n">
        <v>46079</v>
      </c>
      <c r="C48" s="10" t="inlineStr">
        <is>
          <t>2026-02</t>
        </is>
      </c>
      <c r="D48" s="10" t="inlineStr">
        <is>
          <t>MP Cartão</t>
        </is>
      </c>
      <c r="E48" s="10" t="inlineStr">
        <is>
          <t>MP*LOTERIASONLINEI4Q9</t>
        </is>
      </c>
      <c r="F48" s="10" t="inlineStr">
        <is>
          <t>Loteria</t>
        </is>
      </c>
      <c r="G48" s="10" t="inlineStr">
        <is>
          <t>Lazer</t>
        </is>
      </c>
      <c r="H48" s="10" t="inlineStr">
        <is>
          <t>Estilo de Vida</t>
        </is>
      </c>
      <c r="I48" s="13" t="n">
        <v>-168</v>
      </c>
      <c r="J48" s="10" t="n"/>
      <c r="K48" s="10" t="inlineStr">
        <is>
          <t>BRL</t>
        </is>
      </c>
      <c r="L48" s="10" t="inlineStr">
        <is>
          <t>Despesa</t>
        </is>
      </c>
      <c r="M48" s="10" t="inlineStr">
        <is>
          <t>Fatura 2026-03</t>
        </is>
      </c>
    </row>
    <row r="49">
      <c r="A49" s="3" t="n">
        <v>38</v>
      </c>
      <c r="B49" s="4" t="n">
        <v>46080</v>
      </c>
      <c r="C49" s="5" t="inlineStr">
        <is>
          <t>2026-02</t>
        </is>
      </c>
      <c r="D49" s="5" t="inlineStr">
        <is>
          <t>MP Cartão</t>
        </is>
      </c>
      <c r="E49" s="5" t="inlineStr">
        <is>
          <t>MP*LOTERIASONLINEYYRE</t>
        </is>
      </c>
      <c r="F49" s="5" t="inlineStr">
        <is>
          <t>Loteria</t>
        </is>
      </c>
      <c r="G49" s="5" t="inlineStr">
        <is>
          <t>Lazer</t>
        </is>
      </c>
      <c r="H49" s="5" t="inlineStr">
        <is>
          <t>Estilo de Vida</t>
        </is>
      </c>
      <c r="I49" s="14" t="n">
        <v>-119</v>
      </c>
      <c r="J49" s="5" t="n"/>
      <c r="K49" s="5" t="inlineStr">
        <is>
          <t>BRL</t>
        </is>
      </c>
      <c r="L49" s="5" t="inlineStr">
        <is>
          <t>Despesa</t>
        </is>
      </c>
      <c r="M49" s="5" t="inlineStr">
        <is>
          <t>Fatura 2026-03</t>
        </is>
      </c>
    </row>
    <row r="50">
      <c r="A50" s="8" t="n">
        <v>39</v>
      </c>
      <c r="B50" s="9" t="n">
        <v>46081</v>
      </c>
      <c r="C50" s="10" t="inlineStr">
        <is>
          <t>2026-02</t>
        </is>
      </c>
      <c r="D50" s="10" t="inlineStr">
        <is>
          <t>MP Cartão</t>
        </is>
      </c>
      <c r="E50" s="10" t="inlineStr">
        <is>
          <t>APPLECOMBILL</t>
        </is>
      </c>
      <c r="F50" s="10" t="inlineStr">
        <is>
          <t>Assinatura</t>
        </is>
      </c>
      <c r="G50" s="10" t="inlineStr">
        <is>
          <t>Assinaturas</t>
        </is>
      </c>
      <c r="H50" s="10" t="inlineStr">
        <is>
          <t>Estilo de Vida</t>
        </is>
      </c>
      <c r="I50" s="13" t="n">
        <v>-99.90000000000001</v>
      </c>
      <c r="J50" s="10" t="n"/>
      <c r="K50" s="10" t="inlineStr">
        <is>
          <t>BRL</t>
        </is>
      </c>
      <c r="L50" s="10" t="inlineStr">
        <is>
          <t>Despesa</t>
        </is>
      </c>
      <c r="M50" s="10" t="inlineStr">
        <is>
          <t>Fatura 2026-03</t>
        </is>
      </c>
    </row>
    <row r="51">
      <c r="A51" s="3" t="n">
        <v>178</v>
      </c>
      <c r="B51" s="4" t="n">
        <v>46084</v>
      </c>
      <c r="C51" s="5" t="inlineStr">
        <is>
          <t>2026-03</t>
        </is>
      </c>
      <c r="D51" s="5" t="inlineStr">
        <is>
          <t>BCB Câmbio</t>
        </is>
      </c>
      <c r="E51" s="5" t="inlineStr">
        <is>
          <t>USA - Own Account</t>
        </is>
      </c>
      <c r="F51" s="5" t="inlineStr">
        <is>
          <t>67995 Self-transfer</t>
        </is>
      </c>
      <c r="G51" s="5" t="inlineStr">
        <is>
          <t>FX / Remessa</t>
        </is>
      </c>
      <c r="H51" s="5" t="inlineStr">
        <is>
          <t>Financeiro</t>
        </is>
      </c>
      <c r="I51" s="14" t="n">
        <v>-16024.35</v>
      </c>
      <c r="J51" s="7" t="n">
        <v>3000</v>
      </c>
      <c r="K51" s="5" t="inlineStr">
        <is>
          <t>USD</t>
        </is>
      </c>
      <c r="L51" s="5" t="inlineStr">
        <is>
          <t>Outbound</t>
        </is>
      </c>
      <c r="M51" s="5" t="inlineStr">
        <is>
          <t>Rate 5.3414</t>
        </is>
      </c>
    </row>
    <row r="52">
      <c r="A52" s="8" t="n">
        <v>40</v>
      </c>
      <c r="B52" s="9" t="n">
        <v>46085</v>
      </c>
      <c r="C52" s="10" t="inlineStr">
        <is>
          <t>2026-03</t>
        </is>
      </c>
      <c r="D52" s="10" t="inlineStr">
        <is>
          <t>MP Cartão</t>
        </is>
      </c>
      <c r="E52" s="10" t="inlineStr">
        <is>
          <t>MP*LOTERIASONLINEFL2P</t>
        </is>
      </c>
      <c r="F52" s="10" t="inlineStr">
        <is>
          <t>Loteria</t>
        </is>
      </c>
      <c r="G52" s="10" t="inlineStr">
        <is>
          <t>Lazer</t>
        </is>
      </c>
      <c r="H52" s="10" t="inlineStr">
        <is>
          <t>Estilo de Vida</t>
        </is>
      </c>
      <c r="I52" s="13" t="n">
        <v>-221</v>
      </c>
      <c r="J52" s="10" t="n"/>
      <c r="K52" s="10" t="inlineStr">
        <is>
          <t>BRL</t>
        </is>
      </c>
      <c r="L52" s="10" t="inlineStr">
        <is>
          <t>Despesa</t>
        </is>
      </c>
      <c r="M52" s="10" t="inlineStr">
        <is>
          <t>Fatura 2026-03</t>
        </is>
      </c>
    </row>
    <row r="53">
      <c r="A53" s="3" t="n">
        <v>41</v>
      </c>
      <c r="B53" s="4" t="n">
        <v>46086</v>
      </c>
      <c r="C53" s="5" t="inlineStr">
        <is>
          <t>2026-03</t>
        </is>
      </c>
      <c r="D53" s="5" t="inlineStr">
        <is>
          <t>MP Cartão</t>
        </is>
      </c>
      <c r="E53" s="5" t="inlineStr">
        <is>
          <t>Compra internacional em OPENAI *CHATGPT SUBSCR</t>
        </is>
      </c>
      <c r="F53" s="5" t="inlineStr">
        <is>
          <t>IA/Tecnologia</t>
        </is>
      </c>
      <c r="G53" s="5" t="inlineStr">
        <is>
          <t>Tecnologia/IA</t>
        </is>
      </c>
      <c r="H53" s="5" t="inlineStr">
        <is>
          <t>Estilo de Vida</t>
        </is>
      </c>
      <c r="I53" s="14" t="n">
        <v>-108.47</v>
      </c>
      <c r="J53" s="5" t="n"/>
      <c r="K53" s="5" t="inlineStr">
        <is>
          <t>USD</t>
        </is>
      </c>
      <c r="L53" s="5" t="inlineStr">
        <is>
          <t>Despesa</t>
        </is>
      </c>
      <c r="M53" s="5" t="inlineStr">
        <is>
          <t>Fatura 2026-04</t>
        </is>
      </c>
    </row>
    <row r="54">
      <c r="A54" s="8" t="n">
        <v>42</v>
      </c>
      <c r="B54" s="9" t="n">
        <v>46088</v>
      </c>
      <c r="C54" s="10" t="inlineStr">
        <is>
          <t>2026-03</t>
        </is>
      </c>
      <c r="D54" s="10" t="inlineStr">
        <is>
          <t>MP Cartão</t>
        </is>
      </c>
      <c r="E54" s="10" t="inlineStr">
        <is>
          <t>MP*LOTERIASONLINEQPEZ</t>
        </is>
      </c>
      <c r="F54" s="10" t="inlineStr">
        <is>
          <t>Loteria</t>
        </is>
      </c>
      <c r="G54" s="10" t="inlineStr">
        <is>
          <t>Lazer</t>
        </is>
      </c>
      <c r="H54" s="10" t="inlineStr">
        <is>
          <t>Estilo de Vida</t>
        </is>
      </c>
      <c r="I54" s="13" t="n">
        <v>-243</v>
      </c>
      <c r="J54" s="10" t="n"/>
      <c r="K54" s="10" t="inlineStr">
        <is>
          <t>BRL</t>
        </is>
      </c>
      <c r="L54" s="10" t="inlineStr">
        <is>
          <t>Despesa</t>
        </is>
      </c>
      <c r="M54" s="10" t="inlineStr">
        <is>
          <t>Fatura 2026-04</t>
        </is>
      </c>
    </row>
    <row r="55">
      <c r="A55" s="3" t="n">
        <v>43</v>
      </c>
      <c r="B55" s="4" t="n">
        <v>46088</v>
      </c>
      <c r="C55" s="5" t="inlineStr">
        <is>
          <t>2026-03</t>
        </is>
      </c>
      <c r="D55" s="5" t="inlineStr">
        <is>
          <t>MP Cartão</t>
        </is>
      </c>
      <c r="E55" s="5" t="inlineStr">
        <is>
          <t>MP*LOTERIASONLINEQTKS</t>
        </is>
      </c>
      <c r="F55" s="5" t="inlineStr">
        <is>
          <t>Loteria</t>
        </is>
      </c>
      <c r="G55" s="5" t="inlineStr">
        <is>
          <t>Lazer</t>
        </is>
      </c>
      <c r="H55" s="5" t="inlineStr">
        <is>
          <t>Estilo de Vida</t>
        </is>
      </c>
      <c r="I55" s="14" t="n">
        <v>-168</v>
      </c>
      <c r="J55" s="5" t="n"/>
      <c r="K55" s="5" t="inlineStr">
        <is>
          <t>BRL</t>
        </is>
      </c>
      <c r="L55" s="5" t="inlineStr">
        <is>
          <t>Despesa</t>
        </is>
      </c>
      <c r="M55" s="5" t="inlineStr">
        <is>
          <t>Fatura 2026-04</t>
        </is>
      </c>
    </row>
    <row r="56">
      <c r="A56" s="8" t="n">
        <v>44</v>
      </c>
      <c r="B56" s="9" t="n">
        <v>46089</v>
      </c>
      <c r="C56" s="10" t="inlineStr">
        <is>
          <t>2026-03</t>
        </is>
      </c>
      <c r="D56" s="10" t="inlineStr">
        <is>
          <t>MP Cartão</t>
        </is>
      </c>
      <c r="E56" s="10" t="inlineStr">
        <is>
          <t>APPLECOMBILL</t>
        </is>
      </c>
      <c r="F56" s="10" t="inlineStr">
        <is>
          <t>Assinatura</t>
        </is>
      </c>
      <c r="G56" s="10" t="inlineStr">
        <is>
          <t>Assinaturas</t>
        </is>
      </c>
      <c r="H56" s="10" t="inlineStr">
        <is>
          <t>Estilo de Vida</t>
        </is>
      </c>
      <c r="I56" s="13" t="n">
        <v>-21.9</v>
      </c>
      <c r="J56" s="10" t="n"/>
      <c r="K56" s="10" t="inlineStr">
        <is>
          <t>BRL</t>
        </is>
      </c>
      <c r="L56" s="10" t="inlineStr">
        <is>
          <t>Despesa</t>
        </is>
      </c>
      <c r="M56" s="10" t="inlineStr">
        <is>
          <t>Fatura 2026-04</t>
        </is>
      </c>
    </row>
    <row r="57">
      <c r="A57" s="3" t="n">
        <v>45</v>
      </c>
      <c r="B57" s="4" t="n">
        <v>46089</v>
      </c>
      <c r="C57" s="5" t="inlineStr">
        <is>
          <t>2026-03</t>
        </is>
      </c>
      <c r="D57" s="5" t="inlineStr">
        <is>
          <t>MP Cartão</t>
        </is>
      </c>
      <c r="E57" s="5" t="inlineStr">
        <is>
          <t>MERCADOLIVRE*7PRODUTOS</t>
        </is>
      </c>
      <c r="F57" s="5" t="inlineStr">
        <is>
          <t>Compras/ML</t>
        </is>
      </c>
      <c r="G57" s="5" t="inlineStr">
        <is>
          <t>Compras/ML</t>
        </is>
      </c>
      <c r="H57" s="5" t="inlineStr">
        <is>
          <t>Outros</t>
        </is>
      </c>
      <c r="I57" s="14" t="n">
        <v>-453.64</v>
      </c>
      <c r="J57" s="5" t="n"/>
      <c r="K57" s="5" t="inlineStr">
        <is>
          <t>BRL</t>
        </is>
      </c>
      <c r="L57" s="5" t="inlineStr">
        <is>
          <t>Despesa</t>
        </is>
      </c>
      <c r="M57" s="5" t="inlineStr">
        <is>
          <t>Fatura 2026-04</t>
        </is>
      </c>
    </row>
    <row r="58">
      <c r="A58" s="8" t="n">
        <v>46</v>
      </c>
      <c r="B58" s="9" t="n">
        <v>46089</v>
      </c>
      <c r="C58" s="10" t="inlineStr">
        <is>
          <t>2026-03</t>
        </is>
      </c>
      <c r="D58" s="10" t="inlineStr">
        <is>
          <t>MP Cartão</t>
        </is>
      </c>
      <c r="E58" s="10" t="inlineStr">
        <is>
          <t>Compra internacional em GITHUB, INC.</t>
        </is>
      </c>
      <c r="F58" s="10" t="inlineStr">
        <is>
          <t>IA/Tecnologia</t>
        </is>
      </c>
      <c r="G58" s="10" t="inlineStr">
        <is>
          <t>Tecnologia/IA</t>
        </is>
      </c>
      <c r="H58" s="10" t="inlineStr">
        <is>
          <t>Estilo de Vida</t>
        </is>
      </c>
      <c r="I58" s="13" t="n">
        <v>-54.76</v>
      </c>
      <c r="J58" s="10" t="n"/>
      <c r="K58" s="10" t="inlineStr">
        <is>
          <t>USD</t>
        </is>
      </c>
      <c r="L58" s="10" t="inlineStr">
        <is>
          <t>Despesa</t>
        </is>
      </c>
      <c r="M58" s="10" t="inlineStr">
        <is>
          <t>Fatura 2026-04</t>
        </is>
      </c>
    </row>
    <row r="59">
      <c r="A59" s="3" t="n">
        <v>47</v>
      </c>
      <c r="B59" s="4" t="n">
        <v>46090</v>
      </c>
      <c r="C59" s="5" t="inlineStr">
        <is>
          <t>2026-03</t>
        </is>
      </c>
      <c r="D59" s="5" t="inlineStr">
        <is>
          <t>MP Cartão</t>
        </is>
      </c>
      <c r="E59" s="5" t="inlineStr">
        <is>
          <t>Compra internacional em GUMROAD* GUI RAMBO</t>
        </is>
      </c>
      <c r="F59" s="5" t="inlineStr">
        <is>
          <t>Digital</t>
        </is>
      </c>
      <c r="G59" s="5" t="inlineStr">
        <is>
          <t>Digital</t>
        </is>
      </c>
      <c r="H59" s="5" t="inlineStr">
        <is>
          <t>Outros</t>
        </is>
      </c>
      <c r="I59" s="14" t="n">
        <v>-10.9</v>
      </c>
      <c r="J59" s="5" t="n"/>
      <c r="K59" s="5" t="inlineStr">
        <is>
          <t>USD</t>
        </is>
      </c>
      <c r="L59" s="5" t="inlineStr">
        <is>
          <t>Despesa</t>
        </is>
      </c>
      <c r="M59" s="5" t="inlineStr">
        <is>
          <t>Fatura 2026-04</t>
        </is>
      </c>
    </row>
    <row r="60">
      <c r="A60" s="8" t="n">
        <v>48</v>
      </c>
      <c r="B60" s="9" t="n">
        <v>46091</v>
      </c>
      <c r="C60" s="10" t="inlineStr">
        <is>
          <t>2026-03</t>
        </is>
      </c>
      <c r="D60" s="10" t="inlineStr">
        <is>
          <t>MP Cartão</t>
        </is>
      </c>
      <c r="E60" s="10" t="inlineStr">
        <is>
          <t>Compra internacional em LAN AIRLINE</t>
        </is>
      </c>
      <c r="F60" s="10" t="inlineStr">
        <is>
          <t>Viagem</t>
        </is>
      </c>
      <c r="G60" s="10" t="inlineStr">
        <is>
          <t>Viagem/Lazer</t>
        </is>
      </c>
      <c r="H60" s="10" t="inlineStr">
        <is>
          <t>Estilo de Vida</t>
        </is>
      </c>
      <c r="I60" s="13" t="n">
        <v>-9036.83</v>
      </c>
      <c r="J60" s="10" t="n"/>
      <c r="K60" s="10" t="inlineStr">
        <is>
          <t>USD</t>
        </is>
      </c>
      <c r="L60" s="10" t="inlineStr">
        <is>
          <t>Despesa</t>
        </is>
      </c>
      <c r="M60" s="10" t="inlineStr">
        <is>
          <t>Fatura 2026-04</t>
        </is>
      </c>
    </row>
    <row r="61">
      <c r="A61" s="3" t="n">
        <v>49</v>
      </c>
      <c r="B61" s="4" t="n">
        <v>46091</v>
      </c>
      <c r="C61" s="5" t="inlineStr">
        <is>
          <t>2026-03</t>
        </is>
      </c>
      <c r="D61" s="5" t="inlineStr">
        <is>
          <t>MP Cartão</t>
        </is>
      </c>
      <c r="E61" s="5" t="inlineStr">
        <is>
          <t>APPLECOMBILL</t>
        </is>
      </c>
      <c r="F61" s="5" t="inlineStr">
        <is>
          <t>Assinatura</t>
        </is>
      </c>
      <c r="G61" s="5" t="inlineStr">
        <is>
          <t>Assinaturas</t>
        </is>
      </c>
      <c r="H61" s="5" t="inlineStr">
        <is>
          <t>Estilo de Vida</t>
        </is>
      </c>
      <c r="I61" s="14" t="n">
        <v>-19.9</v>
      </c>
      <c r="J61" s="5" t="n"/>
      <c r="K61" s="5" t="inlineStr">
        <is>
          <t>BRL</t>
        </is>
      </c>
      <c r="L61" s="5" t="inlineStr">
        <is>
          <t>Despesa</t>
        </is>
      </c>
      <c r="M61" s="5" t="inlineStr">
        <is>
          <t>Fatura 2026-04</t>
        </is>
      </c>
    </row>
    <row r="62">
      <c r="A62" s="8" t="n">
        <v>50</v>
      </c>
      <c r="B62" s="9" t="n">
        <v>46091</v>
      </c>
      <c r="C62" s="10" t="inlineStr">
        <is>
          <t>2026-03</t>
        </is>
      </c>
      <c r="D62" s="10" t="inlineStr">
        <is>
          <t>MP Cartão</t>
        </is>
      </c>
      <c r="E62" s="10" t="inlineStr">
        <is>
          <t>Compra internacional em OPENROUTER, INC</t>
        </is>
      </c>
      <c r="F62" s="10" t="inlineStr">
        <is>
          <t>Outros</t>
        </is>
      </c>
      <c r="G62" s="10" t="inlineStr">
        <is>
          <t>Outros</t>
        </is>
      </c>
      <c r="H62" s="10" t="inlineStr">
        <is>
          <t>Administrativo</t>
        </is>
      </c>
      <c r="I62" s="13" t="n">
        <v>-113.78</v>
      </c>
      <c r="J62" s="10" t="n"/>
      <c r="K62" s="10" t="inlineStr">
        <is>
          <t>USD</t>
        </is>
      </c>
      <c r="L62" s="10" t="inlineStr">
        <is>
          <t>Despesa</t>
        </is>
      </c>
      <c r="M62" s="10" t="inlineStr">
        <is>
          <t>Fatura 2026-04</t>
        </is>
      </c>
    </row>
    <row r="63">
      <c r="A63" s="3" t="n">
        <v>51</v>
      </c>
      <c r="B63" s="4" t="n">
        <v>46092</v>
      </c>
      <c r="C63" s="5" t="inlineStr">
        <is>
          <t>2026-03</t>
        </is>
      </c>
      <c r="D63" s="5" t="inlineStr">
        <is>
          <t>MP Cartão</t>
        </is>
      </c>
      <c r="E63" s="5" t="inlineStr">
        <is>
          <t>IFD*iFood</t>
        </is>
      </c>
      <c r="F63" s="5" t="inlineStr">
        <is>
          <t>Delivery/iFood</t>
        </is>
      </c>
      <c r="G63" s="5" t="inlineStr">
        <is>
          <t>Alimentação</t>
        </is>
      </c>
      <c r="H63" s="5" t="inlineStr">
        <is>
          <t>Essencial</t>
        </is>
      </c>
      <c r="I63" s="14" t="n">
        <v>-7.95</v>
      </c>
      <c r="J63" s="5" t="n"/>
      <c r="K63" s="5" t="inlineStr">
        <is>
          <t>BRL</t>
        </is>
      </c>
      <c r="L63" s="5" t="inlineStr">
        <is>
          <t>Despesa</t>
        </is>
      </c>
      <c r="M63" s="5" t="inlineStr">
        <is>
          <t>Fatura 2026-04</t>
        </is>
      </c>
    </row>
    <row r="64">
      <c r="A64" s="8" t="n">
        <v>52</v>
      </c>
      <c r="B64" s="9" t="n">
        <v>46093</v>
      </c>
      <c r="C64" s="10" t="inlineStr">
        <is>
          <t>2026-03</t>
        </is>
      </c>
      <c r="D64" s="10" t="inlineStr">
        <is>
          <t>MP Cartão</t>
        </is>
      </c>
      <c r="E64" s="10" t="inlineStr">
        <is>
          <t>MP*LOTERIASONLINEP6LJ</t>
        </is>
      </c>
      <c r="F64" s="10" t="inlineStr">
        <is>
          <t>Loteria</t>
        </is>
      </c>
      <c r="G64" s="10" t="inlineStr">
        <is>
          <t>Lazer</t>
        </is>
      </c>
      <c r="H64" s="10" t="inlineStr">
        <is>
          <t>Estilo de Vida</t>
        </is>
      </c>
      <c r="I64" s="13" t="n">
        <v>-104</v>
      </c>
      <c r="J64" s="10" t="n"/>
      <c r="K64" s="10" t="inlineStr">
        <is>
          <t>BRL</t>
        </is>
      </c>
      <c r="L64" s="10" t="inlineStr">
        <is>
          <t>Despesa</t>
        </is>
      </c>
      <c r="M64" s="10" t="inlineStr">
        <is>
          <t>Fatura 2026-04</t>
        </is>
      </c>
    </row>
    <row r="65">
      <c r="A65" s="3" t="n">
        <v>53</v>
      </c>
      <c r="B65" s="4" t="n">
        <v>46093</v>
      </c>
      <c r="C65" s="5" t="inlineStr">
        <is>
          <t>2026-03</t>
        </is>
      </c>
      <c r="D65" s="5" t="inlineStr">
        <is>
          <t>MP Cartão</t>
        </is>
      </c>
      <c r="E65" s="5" t="inlineStr">
        <is>
          <t>MP*LOTERIASONLINEPA19</t>
        </is>
      </c>
      <c r="F65" s="5" t="inlineStr">
        <is>
          <t>Loteria</t>
        </is>
      </c>
      <c r="G65" s="5" t="inlineStr">
        <is>
          <t>Lazer</t>
        </is>
      </c>
      <c r="H65" s="5" t="inlineStr">
        <is>
          <t>Estilo de Vida</t>
        </is>
      </c>
      <c r="I65" s="14" t="n">
        <v>-168</v>
      </c>
      <c r="J65" s="5" t="n"/>
      <c r="K65" s="5" t="inlineStr">
        <is>
          <t>BRL</t>
        </is>
      </c>
      <c r="L65" s="5" t="inlineStr">
        <is>
          <t>Despesa</t>
        </is>
      </c>
      <c r="M65" s="5" t="inlineStr">
        <is>
          <t>Fatura 2026-04</t>
        </is>
      </c>
    </row>
    <row r="66">
      <c r="A66" s="8" t="n">
        <v>54</v>
      </c>
      <c r="B66" s="9" t="n">
        <v>46094</v>
      </c>
      <c r="C66" s="10" t="inlineStr">
        <is>
          <t>2026-03</t>
        </is>
      </c>
      <c r="D66" s="10" t="inlineStr">
        <is>
          <t>MP Cartão</t>
        </is>
      </c>
      <c r="E66" s="10" t="inlineStr">
        <is>
          <t>MP*LOTERIASONLINEJSZ1</t>
        </is>
      </c>
      <c r="F66" s="10" t="inlineStr">
        <is>
          <t>Loteria</t>
        </is>
      </c>
      <c r="G66" s="10" t="inlineStr">
        <is>
          <t>Lazer</t>
        </is>
      </c>
      <c r="H66" s="10" t="inlineStr">
        <is>
          <t>Estilo de Vida</t>
        </is>
      </c>
      <c r="I66" s="13" t="n">
        <v>-73.5</v>
      </c>
      <c r="J66" s="10" t="n"/>
      <c r="K66" s="10" t="inlineStr">
        <is>
          <t>USD</t>
        </is>
      </c>
      <c r="L66" s="10" t="inlineStr">
        <is>
          <t>Despesa</t>
        </is>
      </c>
      <c r="M66" s="10" t="inlineStr">
        <is>
          <t>Fatura 2026-04</t>
        </is>
      </c>
    </row>
    <row r="67">
      <c r="A67" s="3" t="n">
        <v>55</v>
      </c>
      <c r="B67" s="4" t="n">
        <v>46094</v>
      </c>
      <c r="C67" s="5" t="inlineStr">
        <is>
          <t>2026-03</t>
        </is>
      </c>
      <c r="D67" s="5" t="inlineStr">
        <is>
          <t>MP Cartão</t>
        </is>
      </c>
      <c r="E67" s="5" t="inlineStr">
        <is>
          <t>MP*LOTERIASONLINEJX1C</t>
        </is>
      </c>
      <c r="F67" s="5" t="inlineStr">
        <is>
          <t>Loteria</t>
        </is>
      </c>
      <c r="G67" s="5" t="inlineStr">
        <is>
          <t>Lazer</t>
        </is>
      </c>
      <c r="H67" s="5" t="inlineStr">
        <is>
          <t>Estilo de Vida</t>
        </is>
      </c>
      <c r="I67" s="14" t="n">
        <v>-168</v>
      </c>
      <c r="J67" s="5" t="n"/>
      <c r="K67" s="5" t="inlineStr">
        <is>
          <t>USD</t>
        </is>
      </c>
      <c r="L67" s="5" t="inlineStr">
        <is>
          <t>Despesa</t>
        </is>
      </c>
      <c r="M67" s="5" t="inlineStr">
        <is>
          <t>Fatura 2026-04</t>
        </is>
      </c>
    </row>
    <row r="68">
      <c r="A68" s="8" t="n">
        <v>179</v>
      </c>
      <c r="B68" s="9" t="n">
        <v>46094</v>
      </c>
      <c r="C68" s="10" t="inlineStr">
        <is>
          <t>2026-03</t>
        </is>
      </c>
      <c r="D68" s="10" t="inlineStr">
        <is>
          <t>BCB Câmbio</t>
        </is>
      </c>
      <c r="E68" s="10" t="inlineStr">
        <is>
          <t>USA - Own Account</t>
        </is>
      </c>
      <c r="F68" s="10" t="inlineStr">
        <is>
          <t>67995 Self-transfer</t>
        </is>
      </c>
      <c r="G68" s="10" t="inlineStr">
        <is>
          <t>FX / Remessa</t>
        </is>
      </c>
      <c r="H68" s="10" t="inlineStr">
        <is>
          <t>Financeiro</t>
        </is>
      </c>
      <c r="I68" s="13" t="n">
        <v>-15877.18</v>
      </c>
      <c r="J68" s="12" t="n">
        <v>3000</v>
      </c>
      <c r="K68" s="10" t="inlineStr">
        <is>
          <t>USD</t>
        </is>
      </c>
      <c r="L68" s="10" t="inlineStr">
        <is>
          <t>Outbound</t>
        </is>
      </c>
      <c r="M68" s="10" t="inlineStr">
        <is>
          <t>Rate 5.2924</t>
        </is>
      </c>
    </row>
    <row r="69">
      <c r="A69" s="3" t="n">
        <v>56</v>
      </c>
      <c r="B69" s="4" t="n">
        <v>46095</v>
      </c>
      <c r="C69" s="5" t="inlineStr">
        <is>
          <t>2026-03</t>
        </is>
      </c>
      <c r="D69" s="5" t="inlineStr">
        <is>
          <t>MP Cartão</t>
        </is>
      </c>
      <c r="E69" s="5" t="inlineStr">
        <is>
          <t>STARLINK INTERNET</t>
        </is>
      </c>
      <c r="F69" s="5" t="inlineStr">
        <is>
          <t>Internet</t>
        </is>
      </c>
      <c r="G69" s="5" t="inlineStr">
        <is>
          <t>Telecomunicações</t>
        </is>
      </c>
      <c r="H69" s="5" t="inlineStr">
        <is>
          <t>Essencial</t>
        </is>
      </c>
      <c r="I69" s="14" t="n">
        <v>-235.52</v>
      </c>
      <c r="J69" s="5" t="n"/>
      <c r="K69" s="5" t="inlineStr">
        <is>
          <t>USD</t>
        </is>
      </c>
      <c r="L69" s="5" t="inlineStr">
        <is>
          <t>Despesa</t>
        </is>
      </c>
      <c r="M69" s="5" t="inlineStr">
        <is>
          <t>Fatura 2026-04</t>
        </is>
      </c>
    </row>
    <row r="70">
      <c r="A70" s="8" t="n">
        <v>57</v>
      </c>
      <c r="B70" s="9" t="n">
        <v>46096</v>
      </c>
      <c r="C70" s="10" t="inlineStr">
        <is>
          <t>2026-03</t>
        </is>
      </c>
      <c r="D70" s="10" t="inlineStr">
        <is>
          <t>MP Cartão</t>
        </is>
      </c>
      <c r="E70" s="10" t="inlineStr">
        <is>
          <t>MERCADOLIVRE*3PRODUTOS</t>
        </is>
      </c>
      <c r="F70" s="10" t="inlineStr">
        <is>
          <t>Compras/ML</t>
        </is>
      </c>
      <c r="G70" s="10" t="inlineStr">
        <is>
          <t>Compras/ML</t>
        </is>
      </c>
      <c r="H70" s="10" t="inlineStr">
        <is>
          <t>Outros</t>
        </is>
      </c>
      <c r="I70" s="13" t="n">
        <v>-510.37</v>
      </c>
      <c r="J70" s="10" t="n"/>
      <c r="K70" s="10" t="inlineStr">
        <is>
          <t>USD</t>
        </is>
      </c>
      <c r="L70" s="10" t="inlineStr">
        <is>
          <t>Despesa</t>
        </is>
      </c>
      <c r="M70" s="10" t="inlineStr">
        <is>
          <t>Fatura 2026-04</t>
        </is>
      </c>
    </row>
    <row r="71">
      <c r="A71" s="3" t="n">
        <v>170</v>
      </c>
      <c r="B71" s="4" t="n">
        <v>46096</v>
      </c>
      <c r="C71" s="5" t="inlineStr">
        <is>
          <t>2026-03</t>
        </is>
      </c>
      <c r="D71" s="5" t="inlineStr">
        <is>
          <t>Banco Inter</t>
        </is>
      </c>
      <c r="E71" s="5" t="inlineStr">
        <is>
          <t>Eduardo Forster Giovannini</t>
        </is>
      </c>
      <c r="F71" s="5" t="inlineStr">
        <is>
          <t>PIX Out</t>
        </is>
      </c>
      <c r="G71" s="5" t="inlineStr">
        <is>
          <t>Saída PIX</t>
        </is>
      </c>
      <c r="H71" s="5" t="inlineStr">
        <is>
          <t>Movimentação</t>
        </is>
      </c>
      <c r="I71" s="14" t="n">
        <v>-6000</v>
      </c>
      <c r="J71" s="5" t="n"/>
      <c r="K71" s="5" t="inlineStr">
        <is>
          <t>BRL</t>
        </is>
      </c>
      <c r="L71" s="5" t="inlineStr">
        <is>
          <t>Despesa</t>
        </is>
      </c>
      <c r="M71" s="5" t="inlineStr"/>
    </row>
    <row r="72">
      <c r="A72" s="8" t="n">
        <v>171</v>
      </c>
      <c r="B72" s="9" t="n">
        <v>46096</v>
      </c>
      <c r="C72" s="10" t="inlineStr">
        <is>
          <t>2026-03</t>
        </is>
      </c>
      <c r="D72" s="10" t="inlineStr">
        <is>
          <t>Banco Inter</t>
        </is>
      </c>
      <c r="E72" s="10" t="inlineStr">
        <is>
          <t>Mercado Pago Instituicao De Pagamento Ltda</t>
        </is>
      </c>
      <c r="F72" s="10" t="inlineStr">
        <is>
          <t>PIX Out</t>
        </is>
      </c>
      <c r="G72" s="10" t="inlineStr">
        <is>
          <t>Saída PIX</t>
        </is>
      </c>
      <c r="H72" s="10" t="inlineStr">
        <is>
          <t>Movimentação</t>
        </is>
      </c>
      <c r="I72" s="13" t="n">
        <v>-4582.41</v>
      </c>
      <c r="J72" s="10" t="n"/>
      <c r="K72" s="10" t="inlineStr">
        <is>
          <t>BRL</t>
        </is>
      </c>
      <c r="L72" s="10" t="inlineStr">
        <is>
          <t>Despesa</t>
        </is>
      </c>
      <c r="M72" s="10" t="inlineStr"/>
    </row>
    <row r="73">
      <c r="A73" s="3" t="n">
        <v>58</v>
      </c>
      <c r="B73" s="4" t="n">
        <v>46097</v>
      </c>
      <c r="C73" s="5" t="inlineStr">
        <is>
          <t>2026-03</t>
        </is>
      </c>
      <c r="D73" s="5" t="inlineStr">
        <is>
          <t>MP Cartão</t>
        </is>
      </c>
      <c r="E73" s="5" t="inlineStr">
        <is>
          <t>Compra internacional em ALLIANZ EVENT INS</t>
        </is>
      </c>
      <c r="F73" s="5" t="inlineStr">
        <is>
          <t>Outros</t>
        </is>
      </c>
      <c r="G73" s="5" t="inlineStr">
        <is>
          <t>Outros</t>
        </is>
      </c>
      <c r="H73" s="5" t="inlineStr">
        <is>
          <t>Administrativo</t>
        </is>
      </c>
      <c r="I73" s="14" t="n">
        <v>-478.17</v>
      </c>
      <c r="J73" s="5" t="n"/>
      <c r="K73" s="5" t="inlineStr">
        <is>
          <t>USD</t>
        </is>
      </c>
      <c r="L73" s="5" t="inlineStr">
        <is>
          <t>Despesa</t>
        </is>
      </c>
      <c r="M73" s="5" t="inlineStr">
        <is>
          <t>Fatura 2026-04</t>
        </is>
      </c>
    </row>
    <row r="74">
      <c r="A74" s="8" t="n">
        <v>59</v>
      </c>
      <c r="B74" s="9" t="n">
        <v>46098</v>
      </c>
      <c r="C74" s="10" t="inlineStr">
        <is>
          <t>2026-03</t>
        </is>
      </c>
      <c r="D74" s="10" t="inlineStr">
        <is>
          <t>MP Cartão</t>
        </is>
      </c>
      <c r="E74" s="10" t="inlineStr">
        <is>
          <t>Compra internacional em OPENAI *CHATGPT SUBSCR</t>
        </is>
      </c>
      <c r="F74" s="10" t="inlineStr">
        <is>
          <t>IA/Tecnologia</t>
        </is>
      </c>
      <c r="G74" s="10" t="inlineStr">
        <is>
          <t>Tecnologia/IA</t>
        </is>
      </c>
      <c r="H74" s="10" t="inlineStr">
        <is>
          <t>Estilo de Vida</t>
        </is>
      </c>
      <c r="I74" s="13" t="n">
        <v>-108.89</v>
      </c>
      <c r="J74" s="10" t="n"/>
      <c r="K74" s="10" t="inlineStr">
        <is>
          <t>USD</t>
        </is>
      </c>
      <c r="L74" s="10" t="inlineStr">
        <is>
          <t>Despesa</t>
        </is>
      </c>
      <c r="M74" s="10" t="inlineStr">
        <is>
          <t>Fatura 2026-04</t>
        </is>
      </c>
    </row>
    <row r="75">
      <c r="A75" s="3" t="n">
        <v>169</v>
      </c>
      <c r="B75" s="4" t="n">
        <v>46098</v>
      </c>
      <c r="C75" s="5" t="inlineStr">
        <is>
          <t>2026-03</t>
        </is>
      </c>
      <c r="D75" s="5" t="inlineStr">
        <is>
          <t>Banco Inter</t>
        </is>
      </c>
      <c r="E75" s="5" t="inlineStr">
        <is>
          <t>Iago Kevyn Santos Moura</t>
        </is>
      </c>
      <c r="F75" s="5" t="inlineStr">
        <is>
          <t>PIX Out</t>
        </is>
      </c>
      <c r="G75" s="5" t="inlineStr">
        <is>
          <t>Saída PIX</t>
        </is>
      </c>
      <c r="H75" s="5" t="inlineStr">
        <is>
          <t>Movimentação</t>
        </is>
      </c>
      <c r="I75" s="14" t="n">
        <v>-500</v>
      </c>
      <c r="J75" s="5" t="n"/>
      <c r="K75" s="5" t="inlineStr">
        <is>
          <t>BRL</t>
        </is>
      </c>
      <c r="L75" s="5" t="inlineStr">
        <is>
          <t>Despesa</t>
        </is>
      </c>
      <c r="M75" s="5" t="inlineStr"/>
    </row>
    <row r="76">
      <c r="A76" s="8" t="n">
        <v>60</v>
      </c>
      <c r="B76" s="9" t="n">
        <v>46099</v>
      </c>
      <c r="C76" s="10" t="inlineStr">
        <is>
          <t>2026-03</t>
        </is>
      </c>
      <c r="D76" s="10" t="inlineStr">
        <is>
          <t>MP Cartão</t>
        </is>
      </c>
      <c r="E76" s="10" t="inlineStr">
        <is>
          <t>MP*LOTERIASONLINENI9I</t>
        </is>
      </c>
      <c r="F76" s="10" t="inlineStr">
        <is>
          <t>Loteria</t>
        </is>
      </c>
      <c r="G76" s="10" t="inlineStr">
        <is>
          <t>Lazer</t>
        </is>
      </c>
      <c r="H76" s="10" t="inlineStr">
        <is>
          <t>Estilo de Vida</t>
        </is>
      </c>
      <c r="I76" s="13" t="n">
        <v>-267</v>
      </c>
      <c r="J76" s="10" t="n"/>
      <c r="K76" s="10" t="inlineStr">
        <is>
          <t>USD</t>
        </is>
      </c>
      <c r="L76" s="10" t="inlineStr">
        <is>
          <t>Despesa</t>
        </is>
      </c>
      <c r="M76" s="10" t="inlineStr">
        <is>
          <t>Fatura 2026-04</t>
        </is>
      </c>
    </row>
    <row r="77">
      <c r="A77" s="3" t="n">
        <v>180</v>
      </c>
      <c r="B77" s="4" t="n">
        <v>46099</v>
      </c>
      <c r="C77" s="5" t="inlineStr">
        <is>
          <t>2026-03</t>
        </is>
      </c>
      <c r="D77" s="5" t="inlineStr">
        <is>
          <t>BCB Câmbio</t>
        </is>
      </c>
      <c r="E77" s="5" t="inlineStr">
        <is>
          <t>USA - Own Account</t>
        </is>
      </c>
      <c r="F77" s="5" t="inlineStr">
        <is>
          <t>67995 Self-transfer</t>
        </is>
      </c>
      <c r="G77" s="5" t="inlineStr">
        <is>
          <t>FX / Remessa</t>
        </is>
      </c>
      <c r="H77" s="5" t="inlineStr">
        <is>
          <t>Financeiro</t>
        </is>
      </c>
      <c r="I77" s="14" t="n">
        <v>-15963.15</v>
      </c>
      <c r="J77" s="7" t="n">
        <v>3000</v>
      </c>
      <c r="K77" s="5" t="inlineStr">
        <is>
          <t>USD</t>
        </is>
      </c>
      <c r="L77" s="5" t="inlineStr">
        <is>
          <t>Outbound</t>
        </is>
      </c>
      <c r="M77" s="5" t="inlineStr">
        <is>
          <t>Rate 5.3211</t>
        </is>
      </c>
    </row>
    <row r="78">
      <c r="A78" s="8" t="n">
        <v>61</v>
      </c>
      <c r="B78" s="9" t="n">
        <v>46100</v>
      </c>
      <c r="C78" s="10" t="inlineStr">
        <is>
          <t>2026-03</t>
        </is>
      </c>
      <c r="D78" s="10" t="inlineStr">
        <is>
          <t>MP Cartão</t>
        </is>
      </c>
      <c r="E78" s="10" t="inlineStr">
        <is>
          <t>Compra internacional em INTERNET ARCHIVE</t>
        </is>
      </c>
      <c r="F78" s="10" t="inlineStr">
        <is>
          <t>Outros</t>
        </is>
      </c>
      <c r="G78" s="10" t="inlineStr">
        <is>
          <t>Outros</t>
        </is>
      </c>
      <c r="H78" s="10" t="inlineStr">
        <is>
          <t>Administrativo</t>
        </is>
      </c>
      <c r="I78" s="13" t="n">
        <v>-53.93</v>
      </c>
      <c r="J78" s="10" t="n"/>
      <c r="K78" s="10" t="inlineStr">
        <is>
          <t>USD</t>
        </is>
      </c>
      <c r="L78" s="10" t="inlineStr">
        <is>
          <t>Despesa</t>
        </is>
      </c>
      <c r="M78" s="10" t="inlineStr">
        <is>
          <t>Fatura 2026-04</t>
        </is>
      </c>
    </row>
    <row r="79">
      <c r="A79" s="3" t="n">
        <v>62</v>
      </c>
      <c r="B79" s="4" t="n">
        <v>46100</v>
      </c>
      <c r="C79" s="5" t="inlineStr">
        <is>
          <t>2026-03</t>
        </is>
      </c>
      <c r="D79" s="5" t="inlineStr">
        <is>
          <t>MP Cartão</t>
        </is>
      </c>
      <c r="E79" s="5" t="inlineStr">
        <is>
          <t>MP*LOTERIASONLINEU38A</t>
        </is>
      </c>
      <c r="F79" s="5" t="inlineStr">
        <is>
          <t>Loteria</t>
        </is>
      </c>
      <c r="G79" s="5" t="inlineStr">
        <is>
          <t>Lazer</t>
        </is>
      </c>
      <c r="H79" s="5" t="inlineStr">
        <is>
          <t>Estilo de Vida</t>
        </is>
      </c>
      <c r="I79" s="14" t="n">
        <v>-119</v>
      </c>
      <c r="J79" s="5" t="n"/>
      <c r="K79" s="5" t="inlineStr">
        <is>
          <t>USD</t>
        </is>
      </c>
      <c r="L79" s="5" t="inlineStr">
        <is>
          <t>Despesa</t>
        </is>
      </c>
      <c r="M79" s="5" t="inlineStr">
        <is>
          <t>Fatura 2026-04</t>
        </is>
      </c>
    </row>
    <row r="80">
      <c r="A80" s="8" t="n">
        <v>63</v>
      </c>
      <c r="B80" s="9" t="n">
        <v>46101</v>
      </c>
      <c r="C80" s="10" t="inlineStr">
        <is>
          <t>2026-03</t>
        </is>
      </c>
      <c r="D80" s="10" t="inlineStr">
        <is>
          <t>MP Cartão</t>
        </is>
      </c>
      <c r="E80" s="10" t="inlineStr">
        <is>
          <t>EC*GOOGLEBRASILPAGAMEN</t>
        </is>
      </c>
      <c r="F80" s="10" t="inlineStr">
        <is>
          <t>Assinatura</t>
        </is>
      </c>
      <c r="G80" s="10" t="inlineStr">
        <is>
          <t>Assinaturas</t>
        </is>
      </c>
      <c r="H80" s="10" t="inlineStr">
        <is>
          <t>Estilo de Vida</t>
        </is>
      </c>
      <c r="I80" s="13" t="n">
        <v>-96.98999999999999</v>
      </c>
      <c r="J80" s="10" t="n"/>
      <c r="K80" s="10" t="inlineStr">
        <is>
          <t>USD</t>
        </is>
      </c>
      <c r="L80" s="10" t="inlineStr">
        <is>
          <t>Despesa</t>
        </is>
      </c>
      <c r="M80" s="10" t="inlineStr">
        <is>
          <t>Fatura 2026-04</t>
        </is>
      </c>
    </row>
    <row r="81">
      <c r="A81" s="3" t="n">
        <v>168</v>
      </c>
      <c r="B81" s="4" t="n">
        <v>46101</v>
      </c>
      <c r="C81" s="5" t="inlineStr">
        <is>
          <t>2026-03</t>
        </is>
      </c>
      <c r="D81" s="5" t="inlineStr">
        <is>
          <t>Banco Inter</t>
        </is>
      </c>
      <c r="E81" s="5" t="inlineStr">
        <is>
          <t>Eduardo Silva Dos Santos</t>
        </is>
      </c>
      <c r="F81" s="5" t="inlineStr">
        <is>
          <t>PIX Out</t>
        </is>
      </c>
      <c r="G81" s="5" t="inlineStr">
        <is>
          <t>Saída PIX</t>
        </is>
      </c>
      <c r="H81" s="5" t="inlineStr">
        <is>
          <t>Movimentação</t>
        </is>
      </c>
      <c r="I81" s="14" t="n">
        <v>-350</v>
      </c>
      <c r="J81" s="5" t="n"/>
      <c r="K81" s="5" t="inlineStr">
        <is>
          <t>BRL</t>
        </is>
      </c>
      <c r="L81" s="5" t="inlineStr">
        <is>
          <t>Despesa</t>
        </is>
      </c>
      <c r="M81" s="5" t="inlineStr"/>
    </row>
    <row r="82">
      <c r="A82" s="8" t="n">
        <v>64</v>
      </c>
      <c r="B82" s="9" t="n">
        <v>46102</v>
      </c>
      <c r="C82" s="10" t="inlineStr">
        <is>
          <t>2026-03</t>
        </is>
      </c>
      <c r="D82" s="10" t="inlineStr">
        <is>
          <t>MP Cartão</t>
        </is>
      </c>
      <c r="E82" s="10" t="inlineStr">
        <is>
          <t>MERCADOLIVRE*5PRODUTOS</t>
        </is>
      </c>
      <c r="F82" s="10" t="inlineStr">
        <is>
          <t>Compras/ML</t>
        </is>
      </c>
      <c r="G82" s="10" t="inlineStr">
        <is>
          <t>Compras/ML</t>
        </is>
      </c>
      <c r="H82" s="10" t="inlineStr">
        <is>
          <t>Outros</t>
        </is>
      </c>
      <c r="I82" s="13" t="n">
        <v>-119.73</v>
      </c>
      <c r="J82" s="10" t="n"/>
      <c r="K82" s="10" t="inlineStr">
        <is>
          <t>USD</t>
        </is>
      </c>
      <c r="L82" s="10" t="inlineStr">
        <is>
          <t>Despesa</t>
        </is>
      </c>
      <c r="M82" s="10" t="inlineStr">
        <is>
          <t>Fatura 2026-04</t>
        </is>
      </c>
    </row>
    <row r="83">
      <c r="A83" s="3" t="n">
        <v>65</v>
      </c>
      <c r="B83" s="4" t="n">
        <v>46102</v>
      </c>
      <c r="C83" s="5" t="inlineStr">
        <is>
          <t>2026-03</t>
        </is>
      </c>
      <c r="D83" s="5" t="inlineStr">
        <is>
          <t>MP Cartão</t>
        </is>
      </c>
      <c r="E83" s="5" t="inlineStr">
        <is>
          <t>Compra internacional em MANUS AI</t>
        </is>
      </c>
      <c r="F83" s="5" t="inlineStr">
        <is>
          <t>IA/Tecnologia</t>
        </is>
      </c>
      <c r="G83" s="5" t="inlineStr">
        <is>
          <t>Tecnologia/IA</t>
        </is>
      </c>
      <c r="H83" s="5" t="inlineStr">
        <is>
          <t>Estilo de Vida</t>
        </is>
      </c>
      <c r="I83" s="14" t="n">
        <v>-546.48</v>
      </c>
      <c r="J83" s="5" t="n"/>
      <c r="K83" s="5" t="inlineStr">
        <is>
          <t>USD</t>
        </is>
      </c>
      <c r="L83" s="5" t="inlineStr">
        <is>
          <t>Despesa</t>
        </is>
      </c>
      <c r="M83" s="5" t="inlineStr">
        <is>
          <t>Fatura 2026-04</t>
        </is>
      </c>
    </row>
    <row r="84">
      <c r="A84" s="8" t="n">
        <v>66</v>
      </c>
      <c r="B84" s="9" t="n">
        <v>46104</v>
      </c>
      <c r="C84" s="10" t="inlineStr">
        <is>
          <t>2026-03</t>
        </is>
      </c>
      <c r="D84" s="10" t="inlineStr">
        <is>
          <t>MP Cartão</t>
        </is>
      </c>
      <c r="E84" s="10" t="inlineStr">
        <is>
          <t>MP*LOTERIASONLINE12Q6</t>
        </is>
      </c>
      <c r="F84" s="10" t="inlineStr">
        <is>
          <t>Loteria</t>
        </is>
      </c>
      <c r="G84" s="10" t="inlineStr">
        <is>
          <t>Lazer</t>
        </is>
      </c>
      <c r="H84" s="10" t="inlineStr">
        <is>
          <t>Estilo de Vida</t>
        </is>
      </c>
      <c r="I84" s="13" t="n">
        <v>-107.5</v>
      </c>
      <c r="J84" s="10" t="n"/>
      <c r="K84" s="10" t="inlineStr">
        <is>
          <t>USD</t>
        </is>
      </c>
      <c r="L84" s="10" t="inlineStr">
        <is>
          <t>Despesa</t>
        </is>
      </c>
      <c r="M84" s="10" t="inlineStr">
        <is>
          <t>Fatura 2026-04</t>
        </is>
      </c>
    </row>
    <row r="85">
      <c r="A85" s="3" t="n">
        <v>67</v>
      </c>
      <c r="B85" s="4" t="n">
        <v>46107</v>
      </c>
      <c r="C85" s="5" t="inlineStr">
        <is>
          <t>2026-03</t>
        </is>
      </c>
      <c r="D85" s="5" t="inlineStr">
        <is>
          <t>MP Cartão</t>
        </is>
      </c>
      <c r="E85" s="5" t="inlineStr">
        <is>
          <t>MP*LOTERIASONLINEWM4R</t>
        </is>
      </c>
      <c r="F85" s="5" t="inlineStr">
        <is>
          <t>Loteria</t>
        </is>
      </c>
      <c r="G85" s="5" t="inlineStr">
        <is>
          <t>Lazer</t>
        </is>
      </c>
      <c r="H85" s="5" t="inlineStr">
        <is>
          <t>Estilo de Vida</t>
        </is>
      </c>
      <c r="I85" s="14" t="n">
        <v>-161</v>
      </c>
      <c r="J85" s="5" t="n"/>
      <c r="K85" s="5" t="inlineStr">
        <is>
          <t>USD</t>
        </is>
      </c>
      <c r="L85" s="5" t="inlineStr">
        <is>
          <t>Despesa</t>
        </is>
      </c>
      <c r="M85" s="5" t="inlineStr">
        <is>
          <t>Fatura 2026-04</t>
        </is>
      </c>
    </row>
    <row r="86">
      <c r="A86" s="8" t="n">
        <v>68</v>
      </c>
      <c r="B86" s="9" t="n">
        <v>46109</v>
      </c>
      <c r="C86" s="10" t="inlineStr">
        <is>
          <t>2026-03</t>
        </is>
      </c>
      <c r="D86" s="10" t="inlineStr">
        <is>
          <t>MP Cartão</t>
        </is>
      </c>
      <c r="E86" s="10" t="inlineStr">
        <is>
          <t>MP*LOTERIASONLINEKBE8</t>
        </is>
      </c>
      <c r="F86" s="10" t="inlineStr">
        <is>
          <t>Loteria</t>
        </is>
      </c>
      <c r="G86" s="10" t="inlineStr">
        <is>
          <t>Lazer</t>
        </is>
      </c>
      <c r="H86" s="10" t="inlineStr">
        <is>
          <t>Estilo de Vida</t>
        </is>
      </c>
      <c r="I86" s="13" t="n">
        <v>-168</v>
      </c>
      <c r="J86" s="10" t="n"/>
      <c r="K86" s="10" t="inlineStr">
        <is>
          <t>USD</t>
        </is>
      </c>
      <c r="L86" s="10" t="inlineStr">
        <is>
          <t>Despesa</t>
        </is>
      </c>
      <c r="M86" s="10" t="inlineStr">
        <is>
          <t>Fatura 2026-04</t>
        </is>
      </c>
    </row>
    <row r="87">
      <c r="A87" s="3" t="n">
        <v>69</v>
      </c>
      <c r="B87" s="4" t="n">
        <v>46109</v>
      </c>
      <c r="C87" s="5" t="inlineStr">
        <is>
          <t>2026-03</t>
        </is>
      </c>
      <c r="D87" s="5" t="inlineStr">
        <is>
          <t>MP Cartão</t>
        </is>
      </c>
      <c r="E87" s="5" t="inlineStr">
        <is>
          <t>MP*LOTERIASONLINEKJOW</t>
        </is>
      </c>
      <c r="F87" s="5" t="inlineStr">
        <is>
          <t>Loteria</t>
        </is>
      </c>
      <c r="G87" s="5" t="inlineStr">
        <is>
          <t>Lazer</t>
        </is>
      </c>
      <c r="H87" s="5" t="inlineStr">
        <is>
          <t>Estilo de Vida</t>
        </is>
      </c>
      <c r="I87" s="14" t="n">
        <v>-104</v>
      </c>
      <c r="J87" s="5" t="n"/>
      <c r="K87" s="5" t="inlineStr">
        <is>
          <t>USD</t>
        </is>
      </c>
      <c r="L87" s="5" t="inlineStr">
        <is>
          <t>Despesa</t>
        </is>
      </c>
      <c r="M87" s="5" t="inlineStr">
        <is>
          <t>Fatura 2026-04</t>
        </is>
      </c>
    </row>
    <row r="88">
      <c r="A88" s="8" t="n">
        <v>70</v>
      </c>
      <c r="B88" s="9" t="n">
        <v>46111</v>
      </c>
      <c r="C88" s="10" t="inlineStr">
        <is>
          <t>2026-03</t>
        </is>
      </c>
      <c r="D88" s="10" t="inlineStr">
        <is>
          <t>MP Cartão</t>
        </is>
      </c>
      <c r="E88" s="10" t="inlineStr">
        <is>
          <t>Compra internacional em GROK XAI</t>
        </is>
      </c>
      <c r="F88" s="10" t="inlineStr">
        <is>
          <t>Outros</t>
        </is>
      </c>
      <c r="G88" s="10" t="inlineStr">
        <is>
          <t>Outros</t>
        </is>
      </c>
      <c r="H88" s="10" t="inlineStr">
        <is>
          <t>Administrativo</t>
        </is>
      </c>
      <c r="I88" s="13" t="n">
        <v>-81.36</v>
      </c>
      <c r="J88" s="10" t="n"/>
      <c r="K88" s="10" t="inlineStr">
        <is>
          <t>USD</t>
        </is>
      </c>
      <c r="L88" s="10" t="inlineStr">
        <is>
          <t>Despesa</t>
        </is>
      </c>
      <c r="M88" s="10" t="inlineStr">
        <is>
          <t>Fatura 2026-04</t>
        </is>
      </c>
    </row>
    <row r="89">
      <c r="A89" s="3" t="n">
        <v>71</v>
      </c>
      <c r="B89" s="4" t="n">
        <v>46111</v>
      </c>
      <c r="C89" s="5" t="inlineStr">
        <is>
          <t>2026-03</t>
        </is>
      </c>
      <c r="D89" s="5" t="inlineStr">
        <is>
          <t>MP Cartão</t>
        </is>
      </c>
      <c r="E89" s="5" t="inlineStr">
        <is>
          <t>APPLECOMBILL</t>
        </is>
      </c>
      <c r="F89" s="5" t="inlineStr">
        <is>
          <t>Assinatura</t>
        </is>
      </c>
      <c r="G89" s="5" t="inlineStr">
        <is>
          <t>Assinaturas</t>
        </is>
      </c>
      <c r="H89" s="5" t="inlineStr">
        <is>
          <t>Estilo de Vida</t>
        </is>
      </c>
      <c r="I89" s="14" t="n">
        <v>-99.90000000000001</v>
      </c>
      <c r="J89" s="5" t="n"/>
      <c r="K89" s="5" t="inlineStr">
        <is>
          <t>BRL</t>
        </is>
      </c>
      <c r="L89" s="5" t="inlineStr">
        <is>
          <t>Despesa</t>
        </is>
      </c>
      <c r="M89" s="5" t="inlineStr">
        <is>
          <t>Fatura 2026-04</t>
        </is>
      </c>
    </row>
    <row r="90">
      <c r="A90" s="8" t="n">
        <v>72</v>
      </c>
      <c r="B90" s="9" t="n">
        <v>46113</v>
      </c>
      <c r="C90" s="10" t="inlineStr">
        <is>
          <t>2026-04</t>
        </is>
      </c>
      <c r="D90" s="10" t="inlineStr">
        <is>
          <t>MP Cartão</t>
        </is>
      </c>
      <c r="E90" s="10" t="inlineStr">
        <is>
          <t>Compra internacional em CURSOR, AI POWERED IDE</t>
        </is>
      </c>
      <c r="F90" s="10" t="inlineStr">
        <is>
          <t>IA/Tecnologia</t>
        </is>
      </c>
      <c r="G90" s="10" t="inlineStr">
        <is>
          <t>Tecnologia/IA</t>
        </is>
      </c>
      <c r="H90" s="10" t="inlineStr">
        <is>
          <t>Estilo de Vida</t>
        </is>
      </c>
      <c r="I90" s="13" t="n">
        <v>-111.81</v>
      </c>
      <c r="J90" s="10" t="n"/>
      <c r="K90" s="10" t="inlineStr">
        <is>
          <t>USD</t>
        </is>
      </c>
      <c r="L90" s="10" t="inlineStr">
        <is>
          <t>Despesa</t>
        </is>
      </c>
      <c r="M90" s="10" t="inlineStr">
        <is>
          <t>Fatura 2026-04</t>
        </is>
      </c>
    </row>
    <row r="91">
      <c r="A91" s="3" t="n">
        <v>73</v>
      </c>
      <c r="B91" s="4" t="n">
        <v>46115</v>
      </c>
      <c r="C91" s="5" t="inlineStr">
        <is>
          <t>2026-04</t>
        </is>
      </c>
      <c r="D91" s="5" t="inlineStr">
        <is>
          <t>MP Cartão</t>
        </is>
      </c>
      <c r="E91" s="5" t="inlineStr">
        <is>
          <t>STARLINK INTERNET</t>
        </is>
      </c>
      <c r="F91" s="5" t="inlineStr">
        <is>
          <t>Internet</t>
        </is>
      </c>
      <c r="G91" s="5" t="inlineStr">
        <is>
          <t>Telecomunicações</t>
        </is>
      </c>
      <c r="H91" s="5" t="inlineStr">
        <is>
          <t>Essencial</t>
        </is>
      </c>
      <c r="I91" s="14" t="n">
        <v>-235.52</v>
      </c>
      <c r="J91" s="5" t="n"/>
      <c r="K91" s="5" t="inlineStr">
        <is>
          <t>BRL</t>
        </is>
      </c>
      <c r="L91" s="5" t="inlineStr">
        <is>
          <t>Despesa</t>
        </is>
      </c>
      <c r="M91" s="5" t="inlineStr">
        <is>
          <t>Fatura 2026-04</t>
        </is>
      </c>
    </row>
    <row r="92">
      <c r="A92" s="8" t="n">
        <v>74</v>
      </c>
      <c r="B92" s="9" t="n">
        <v>46115</v>
      </c>
      <c r="C92" s="10" t="inlineStr">
        <is>
          <t>2026-04</t>
        </is>
      </c>
      <c r="D92" s="10" t="inlineStr">
        <is>
          <t>MP Cartão</t>
        </is>
      </c>
      <c r="E92" s="10" t="inlineStr">
        <is>
          <t>MP*LOTERIASONLINEDVRW</t>
        </is>
      </c>
      <c r="F92" s="10" t="inlineStr">
        <is>
          <t>Loteria</t>
        </is>
      </c>
      <c r="G92" s="10" t="inlineStr">
        <is>
          <t>Lazer</t>
        </is>
      </c>
      <c r="H92" s="10" t="inlineStr">
        <is>
          <t>Estilo de Vida</t>
        </is>
      </c>
      <c r="I92" s="13" t="n">
        <v>-336</v>
      </c>
      <c r="J92" s="10" t="n"/>
      <c r="K92" s="10" t="inlineStr">
        <is>
          <t>BRL</t>
        </is>
      </c>
      <c r="L92" s="10" t="inlineStr">
        <is>
          <t>Despesa</t>
        </is>
      </c>
      <c r="M92" s="10" t="inlineStr">
        <is>
          <t>Fatura 2026-04</t>
        </is>
      </c>
    </row>
    <row r="93">
      <c r="A93" s="3" t="n">
        <v>75</v>
      </c>
      <c r="B93" s="4" t="n">
        <v>46115</v>
      </c>
      <c r="C93" s="5" t="inlineStr">
        <is>
          <t>2026-04</t>
        </is>
      </c>
      <c r="D93" s="5" t="inlineStr">
        <is>
          <t>MP Cartão</t>
        </is>
      </c>
      <c r="E93" s="5" t="inlineStr">
        <is>
          <t>IFD*MATTERELLO PIZZARI</t>
        </is>
      </c>
      <c r="F93" s="5" t="inlineStr">
        <is>
          <t>Delivery/iFood</t>
        </is>
      </c>
      <c r="G93" s="5" t="inlineStr">
        <is>
          <t>Alimentação</t>
        </is>
      </c>
      <c r="H93" s="5" t="inlineStr">
        <is>
          <t>Essencial</t>
        </is>
      </c>
      <c r="I93" s="14" t="n">
        <v>-165.69</v>
      </c>
      <c r="J93" s="5" t="n"/>
      <c r="K93" s="5" t="inlineStr">
        <is>
          <t>BRL</t>
        </is>
      </c>
      <c r="L93" s="5" t="inlineStr">
        <is>
          <t>Despesa</t>
        </is>
      </c>
      <c r="M93" s="5" t="inlineStr">
        <is>
          <t>Fatura 2026-04</t>
        </is>
      </c>
    </row>
    <row r="94">
      <c r="A94" s="8" t="n">
        <v>76</v>
      </c>
      <c r="B94" s="9" t="n">
        <v>46115</v>
      </c>
      <c r="C94" s="10" t="inlineStr">
        <is>
          <t>2026-04</t>
        </is>
      </c>
      <c r="D94" s="10" t="inlineStr">
        <is>
          <t>MP Cartão</t>
        </is>
      </c>
      <c r="E94" s="10" t="inlineStr">
        <is>
          <t>MERCADOLIVRE*3PRODUTOS</t>
        </is>
      </c>
      <c r="F94" s="10" t="inlineStr">
        <is>
          <t>Compras/ML</t>
        </is>
      </c>
      <c r="G94" s="10" t="inlineStr">
        <is>
          <t>Compras/ML</t>
        </is>
      </c>
      <c r="H94" s="10" t="inlineStr">
        <is>
          <t>Outros</t>
        </is>
      </c>
      <c r="I94" s="13" t="n">
        <v>-602.9</v>
      </c>
      <c r="J94" s="10" t="n"/>
      <c r="K94" s="10" t="inlineStr">
        <is>
          <t>BRL</t>
        </is>
      </c>
      <c r="L94" s="10" t="inlineStr">
        <is>
          <t>Despesa</t>
        </is>
      </c>
      <c r="M94" s="10" t="inlineStr">
        <is>
          <t>Fatura 2026-04</t>
        </is>
      </c>
    </row>
    <row r="95">
      <c r="A95" s="3" t="n">
        <v>77</v>
      </c>
      <c r="B95" s="4" t="n">
        <v>46116</v>
      </c>
      <c r="C95" s="5" t="inlineStr">
        <is>
          <t>2026-04</t>
        </is>
      </c>
      <c r="D95" s="5" t="inlineStr">
        <is>
          <t>MP Cartão</t>
        </is>
      </c>
      <c r="E95" s="5" t="inlineStr">
        <is>
          <t>MP*LOTERIASONLINE9CYW</t>
        </is>
      </c>
      <c r="F95" s="5" t="inlineStr">
        <is>
          <t>Loteria</t>
        </is>
      </c>
      <c r="G95" s="5" t="inlineStr">
        <is>
          <t>Lazer</t>
        </is>
      </c>
      <c r="H95" s="5" t="inlineStr">
        <is>
          <t>Estilo de Vida</t>
        </is>
      </c>
      <c r="I95" s="14" t="n">
        <v>-89.5</v>
      </c>
      <c r="J95" s="5" t="n"/>
      <c r="K95" s="5" t="inlineStr">
        <is>
          <t>BRL</t>
        </is>
      </c>
      <c r="L95" s="5" t="inlineStr">
        <is>
          <t>Despesa</t>
        </is>
      </c>
      <c r="M95" s="5" t="inlineStr">
        <is>
          <t>Fatura 2026-04</t>
        </is>
      </c>
    </row>
    <row r="96">
      <c r="A96" s="8" t="n">
        <v>78</v>
      </c>
      <c r="B96" s="9" t="n">
        <v>46117</v>
      </c>
      <c r="C96" s="10" t="inlineStr">
        <is>
          <t>2026-04</t>
        </is>
      </c>
      <c r="D96" s="10" t="inlineStr">
        <is>
          <t>MP Cartão</t>
        </is>
      </c>
      <c r="E96" s="10" t="inlineStr">
        <is>
          <t>Compra internacional em OPENAI *CHATGPT SUBSCR</t>
        </is>
      </c>
      <c r="F96" s="10" t="inlineStr">
        <is>
          <t>IA/Tecnologia</t>
        </is>
      </c>
      <c r="G96" s="10" t="inlineStr">
        <is>
          <t>Tecnologia/IA</t>
        </is>
      </c>
      <c r="H96" s="10" t="inlineStr">
        <is>
          <t>Estilo de Vida</t>
        </is>
      </c>
      <c r="I96" s="13" t="n">
        <v>-107.02</v>
      </c>
      <c r="J96" s="10" t="n"/>
      <c r="K96" s="10" t="inlineStr">
        <is>
          <t>USD</t>
        </is>
      </c>
      <c r="L96" s="10" t="inlineStr">
        <is>
          <t>Despesa</t>
        </is>
      </c>
      <c r="M96" s="10" t="inlineStr">
        <is>
          <t>Fatura 2026-05</t>
        </is>
      </c>
    </row>
    <row r="97">
      <c r="A97" s="3" t="n">
        <v>79</v>
      </c>
      <c r="B97" s="4" t="n">
        <v>46120</v>
      </c>
      <c r="C97" s="5" t="inlineStr">
        <is>
          <t>2026-04</t>
        </is>
      </c>
      <c r="D97" s="5" t="inlineStr">
        <is>
          <t>MP Cartão</t>
        </is>
      </c>
      <c r="E97" s="5" t="inlineStr">
        <is>
          <t>APPLECOMBILL</t>
        </is>
      </c>
      <c r="F97" s="5" t="inlineStr">
        <is>
          <t>Assinatura</t>
        </is>
      </c>
      <c r="G97" s="5" t="inlineStr">
        <is>
          <t>Assinaturas</t>
        </is>
      </c>
      <c r="H97" s="5" t="inlineStr">
        <is>
          <t>Estilo de Vida</t>
        </is>
      </c>
      <c r="I97" s="14" t="n">
        <v>-21.9</v>
      </c>
      <c r="J97" s="5" t="n"/>
      <c r="K97" s="5" t="inlineStr">
        <is>
          <t>USD</t>
        </is>
      </c>
      <c r="L97" s="5" t="inlineStr">
        <is>
          <t>Despesa</t>
        </is>
      </c>
      <c r="M97" s="5" t="inlineStr">
        <is>
          <t>Fatura 2026-05</t>
        </is>
      </c>
    </row>
    <row r="98">
      <c r="A98" s="8" t="n">
        <v>80</v>
      </c>
      <c r="B98" s="9" t="n">
        <v>46120</v>
      </c>
      <c r="C98" s="10" t="inlineStr">
        <is>
          <t>2026-04</t>
        </is>
      </c>
      <c r="D98" s="10" t="inlineStr">
        <is>
          <t>MP Cartão</t>
        </is>
      </c>
      <c r="E98" s="10" t="inlineStr">
        <is>
          <t>Compra internacional em GITHUB, INC.</t>
        </is>
      </c>
      <c r="F98" s="10" t="inlineStr">
        <is>
          <t>IA/Tecnologia</t>
        </is>
      </c>
      <c r="G98" s="10" t="inlineStr">
        <is>
          <t>Tecnologia/IA</t>
        </is>
      </c>
      <c r="H98" s="10" t="inlineStr">
        <is>
          <t>Estilo de Vida</t>
        </is>
      </c>
      <c r="I98" s="13" t="n">
        <v>-53.41</v>
      </c>
      <c r="J98" s="10" t="n"/>
      <c r="K98" s="10" t="inlineStr">
        <is>
          <t>USD</t>
        </is>
      </c>
      <c r="L98" s="10" t="inlineStr">
        <is>
          <t>Despesa</t>
        </is>
      </c>
      <c r="M98" s="10" t="inlineStr">
        <is>
          <t>Fatura 2026-05</t>
        </is>
      </c>
    </row>
    <row r="99">
      <c r="A99" s="3" t="n">
        <v>81</v>
      </c>
      <c r="B99" s="4" t="n">
        <v>46122</v>
      </c>
      <c r="C99" s="5" t="inlineStr">
        <is>
          <t>2026-04</t>
        </is>
      </c>
      <c r="D99" s="5" t="inlineStr">
        <is>
          <t>MP Cartão</t>
        </is>
      </c>
      <c r="E99" s="5" t="inlineStr">
        <is>
          <t>APPLECOMBILL</t>
        </is>
      </c>
      <c r="F99" s="5" t="inlineStr">
        <is>
          <t>Assinatura</t>
        </is>
      </c>
      <c r="G99" s="5" t="inlineStr">
        <is>
          <t>Assinaturas</t>
        </is>
      </c>
      <c r="H99" s="5" t="inlineStr">
        <is>
          <t>Estilo de Vida</t>
        </is>
      </c>
      <c r="I99" s="14" t="n">
        <v>-19.9</v>
      </c>
      <c r="J99" s="5" t="n"/>
      <c r="K99" s="5" t="inlineStr">
        <is>
          <t>BRL</t>
        </is>
      </c>
      <c r="L99" s="5" t="inlineStr">
        <is>
          <t>Despesa</t>
        </is>
      </c>
      <c r="M99" s="5" t="inlineStr">
        <is>
          <t>Fatura 2026-05</t>
        </is>
      </c>
    </row>
    <row r="100">
      <c r="A100" s="8" t="n">
        <v>82</v>
      </c>
      <c r="B100" s="9" t="n">
        <v>46123</v>
      </c>
      <c r="C100" s="10" t="inlineStr">
        <is>
          <t>2026-04</t>
        </is>
      </c>
      <c r="D100" s="10" t="inlineStr">
        <is>
          <t>MP Cartão</t>
        </is>
      </c>
      <c r="E100" s="10" t="inlineStr">
        <is>
          <t>IFD*iFood</t>
        </is>
      </c>
      <c r="F100" s="10" t="inlineStr">
        <is>
          <t>Delivery/iFood</t>
        </is>
      </c>
      <c r="G100" s="10" t="inlineStr">
        <is>
          <t>Alimentação</t>
        </is>
      </c>
      <c r="H100" s="10" t="inlineStr">
        <is>
          <t>Essencial</t>
        </is>
      </c>
      <c r="I100" s="13" t="n">
        <v>-7.95</v>
      </c>
      <c r="J100" s="10" t="n"/>
      <c r="K100" s="10" t="inlineStr">
        <is>
          <t>BRL</t>
        </is>
      </c>
      <c r="L100" s="10" t="inlineStr">
        <is>
          <t>Despesa</t>
        </is>
      </c>
      <c r="M100" s="10" t="inlineStr">
        <is>
          <t>Fatura 2026-05</t>
        </is>
      </c>
    </row>
    <row r="101">
      <c r="A101" s="3" t="n">
        <v>83</v>
      </c>
      <c r="B101" s="4" t="n">
        <v>46128</v>
      </c>
      <c r="C101" s="5" t="inlineStr">
        <is>
          <t>2026-04</t>
        </is>
      </c>
      <c r="D101" s="5" t="inlineStr">
        <is>
          <t>MP Cartão</t>
        </is>
      </c>
      <c r="E101" s="5" t="inlineStr">
        <is>
          <t>MP*LOTERIASONLINE2FE1</t>
        </is>
      </c>
      <c r="F101" s="5" t="inlineStr">
        <is>
          <t>Loteria</t>
        </is>
      </c>
      <c r="G101" s="5" t="inlineStr">
        <is>
          <t>Lazer</t>
        </is>
      </c>
      <c r="H101" s="5" t="inlineStr">
        <is>
          <t>Estilo de Vida</t>
        </is>
      </c>
      <c r="I101" s="14" t="n">
        <v>-168</v>
      </c>
      <c r="J101" s="5" t="n"/>
      <c r="K101" s="5" t="inlineStr">
        <is>
          <t>BRL</t>
        </is>
      </c>
      <c r="L101" s="5" t="inlineStr">
        <is>
          <t>Despesa</t>
        </is>
      </c>
      <c r="M101" s="5" t="inlineStr">
        <is>
          <t>Fatura 2026-05</t>
        </is>
      </c>
    </row>
    <row r="102">
      <c r="A102" s="8" t="n">
        <v>84</v>
      </c>
      <c r="B102" s="9" t="n">
        <v>46128</v>
      </c>
      <c r="C102" s="10" t="inlineStr">
        <is>
          <t>2026-04</t>
        </is>
      </c>
      <c r="D102" s="10" t="inlineStr">
        <is>
          <t>MP Cartão</t>
        </is>
      </c>
      <c r="E102" s="10" t="inlineStr">
        <is>
          <t>MP*LOTERIASONLINE34H0</t>
        </is>
      </c>
      <c r="F102" s="10" t="inlineStr">
        <is>
          <t>Loteria</t>
        </is>
      </c>
      <c r="G102" s="10" t="inlineStr">
        <is>
          <t>Lazer</t>
        </is>
      </c>
      <c r="H102" s="10" t="inlineStr">
        <is>
          <t>Estilo de Vida</t>
        </is>
      </c>
      <c r="I102" s="13" t="n">
        <v>-100.5</v>
      </c>
      <c r="J102" s="10" t="n"/>
      <c r="K102" s="10" t="inlineStr">
        <is>
          <t>BRL</t>
        </is>
      </c>
      <c r="L102" s="10" t="inlineStr">
        <is>
          <t>Despesa</t>
        </is>
      </c>
      <c r="M102" s="10" t="inlineStr">
        <is>
          <t>Fatura 2026-05</t>
        </is>
      </c>
    </row>
    <row r="103">
      <c r="A103" s="3" t="n">
        <v>85</v>
      </c>
      <c r="B103" s="4" t="n">
        <v>46128</v>
      </c>
      <c r="C103" s="5" t="inlineStr">
        <is>
          <t>2026-04</t>
        </is>
      </c>
      <c r="D103" s="5" t="inlineStr">
        <is>
          <t>MP Cartão</t>
        </is>
      </c>
      <c r="E103" s="5" t="inlineStr">
        <is>
          <t>MERCADOLIVRE*MERCADOLI</t>
        </is>
      </c>
      <c r="F103" s="5" t="inlineStr">
        <is>
          <t>Compras/ML</t>
        </is>
      </c>
      <c r="G103" s="5" t="inlineStr">
        <is>
          <t>Compras/ML</t>
        </is>
      </c>
      <c r="H103" s="5" t="inlineStr">
        <is>
          <t>Outros</t>
        </is>
      </c>
      <c r="I103" s="14" t="n">
        <v>-72.89</v>
      </c>
      <c r="J103" s="5" t="n"/>
      <c r="K103" s="5" t="inlineStr">
        <is>
          <t>BRL</t>
        </is>
      </c>
      <c r="L103" s="5" t="inlineStr">
        <is>
          <t>Despesa</t>
        </is>
      </c>
      <c r="M103" s="5" t="inlineStr">
        <is>
          <t>Fatura 2026-05</t>
        </is>
      </c>
    </row>
    <row r="104">
      <c r="A104" s="8" t="n">
        <v>86</v>
      </c>
      <c r="B104" s="9" t="n">
        <v>46129</v>
      </c>
      <c r="C104" s="10" t="inlineStr">
        <is>
          <t>2026-04</t>
        </is>
      </c>
      <c r="D104" s="10" t="inlineStr">
        <is>
          <t>MP Cartão</t>
        </is>
      </c>
      <c r="E104" s="10" t="inlineStr">
        <is>
          <t>Compra internacional em OPENAI *CHATGPT SUBSCR</t>
        </is>
      </c>
      <c r="F104" s="10" t="inlineStr">
        <is>
          <t>IA/Tecnologia</t>
        </is>
      </c>
      <c r="G104" s="10" t="inlineStr">
        <is>
          <t>Tecnologia/IA</t>
        </is>
      </c>
      <c r="H104" s="10" t="inlineStr">
        <is>
          <t>Estilo de Vida</t>
        </is>
      </c>
      <c r="I104" s="13" t="n">
        <v>-103.5</v>
      </c>
      <c r="J104" s="10" t="n"/>
      <c r="K104" s="10" t="inlineStr">
        <is>
          <t>USD</t>
        </is>
      </c>
      <c r="L104" s="10" t="inlineStr">
        <is>
          <t>Despesa</t>
        </is>
      </c>
      <c r="M104" s="10" t="inlineStr">
        <is>
          <t>Fatura 2026-05</t>
        </is>
      </c>
    </row>
    <row r="105">
      <c r="A105" s="3" t="n">
        <v>87</v>
      </c>
      <c r="B105" s="4" t="n">
        <v>46132</v>
      </c>
      <c r="C105" s="5" t="inlineStr">
        <is>
          <t>2026-04</t>
        </is>
      </c>
      <c r="D105" s="5" t="inlineStr">
        <is>
          <t>MP Cartão</t>
        </is>
      </c>
      <c r="E105" s="5" t="inlineStr">
        <is>
          <t>IFD*JURASSIC PIZZA BES</t>
        </is>
      </c>
      <c r="F105" s="5" t="inlineStr">
        <is>
          <t>Delivery/iFood</t>
        </is>
      </c>
      <c r="G105" s="5" t="inlineStr">
        <is>
          <t>Alimentação</t>
        </is>
      </c>
      <c r="H105" s="5" t="inlineStr">
        <is>
          <t>Essencial</t>
        </is>
      </c>
      <c r="I105" s="14" t="n">
        <v>-74.88</v>
      </c>
      <c r="J105" s="5" t="n"/>
      <c r="K105" s="5" t="inlineStr">
        <is>
          <t>BRL</t>
        </is>
      </c>
      <c r="L105" s="5" t="inlineStr">
        <is>
          <t>Despesa</t>
        </is>
      </c>
      <c r="M105" s="5" t="inlineStr">
        <is>
          <t>Fatura 2026-05</t>
        </is>
      </c>
    </row>
    <row r="106">
      <c r="A106" s="8" t="n">
        <v>88</v>
      </c>
      <c r="B106" s="9" t="n">
        <v>46132</v>
      </c>
      <c r="C106" s="10" t="inlineStr">
        <is>
          <t>2026-04</t>
        </is>
      </c>
      <c r="D106" s="10" t="inlineStr">
        <is>
          <t>MP Cartão</t>
        </is>
      </c>
      <c r="E106" s="10" t="inlineStr">
        <is>
          <t>MICROSOFT*STORE</t>
        </is>
      </c>
      <c r="F106" s="10" t="inlineStr">
        <is>
          <t>Outros</t>
        </is>
      </c>
      <c r="G106" s="10" t="inlineStr">
        <is>
          <t>Outros</t>
        </is>
      </c>
      <c r="H106" s="10" t="inlineStr">
        <is>
          <t>Administrativo</t>
        </is>
      </c>
      <c r="I106" s="13" t="n">
        <v>-509</v>
      </c>
      <c r="J106" s="10" t="n"/>
      <c r="K106" s="10" t="inlineStr">
        <is>
          <t>BRL</t>
        </is>
      </c>
      <c r="L106" s="10" t="inlineStr">
        <is>
          <t>Despesa</t>
        </is>
      </c>
      <c r="M106" s="10" t="inlineStr">
        <is>
          <t>Fatura 2026-05</t>
        </is>
      </c>
    </row>
    <row r="107">
      <c r="A107" s="3" t="n">
        <v>89</v>
      </c>
      <c r="B107" s="4" t="n">
        <v>46133</v>
      </c>
      <c r="C107" s="5" t="inlineStr">
        <is>
          <t>2026-04</t>
        </is>
      </c>
      <c r="D107" s="5" t="inlineStr">
        <is>
          <t>MP Cartão</t>
        </is>
      </c>
      <c r="E107" s="5" t="inlineStr">
        <is>
          <t>MERCADOLIVRE*PKFLEXLTDA</t>
        </is>
      </c>
      <c r="F107" s="5" t="inlineStr">
        <is>
          <t>Compras/ML</t>
        </is>
      </c>
      <c r="G107" s="5" t="inlineStr">
        <is>
          <t>Compras/ML</t>
        </is>
      </c>
      <c r="H107" s="5" t="inlineStr">
        <is>
          <t>Outros</t>
        </is>
      </c>
      <c r="I107" s="14" t="n">
        <v>-111.83</v>
      </c>
      <c r="J107" s="5" t="n"/>
      <c r="K107" s="5" t="inlineStr">
        <is>
          <t>USD</t>
        </is>
      </c>
      <c r="L107" s="5" t="inlineStr">
        <is>
          <t>Despesa</t>
        </is>
      </c>
      <c r="M107" s="5" t="inlineStr">
        <is>
          <t>Fatura 2026-05</t>
        </is>
      </c>
    </row>
    <row r="108">
      <c r="A108" s="8" t="n">
        <v>90</v>
      </c>
      <c r="B108" s="9" t="n">
        <v>46133</v>
      </c>
      <c r="C108" s="10" t="inlineStr">
        <is>
          <t>2026-04</t>
        </is>
      </c>
      <c r="D108" s="10" t="inlineStr">
        <is>
          <t>MP Cartão</t>
        </is>
      </c>
      <c r="E108" s="10" t="inlineStr">
        <is>
          <t>Compra internacional em MANUS AI</t>
        </is>
      </c>
      <c r="F108" s="10" t="inlineStr">
        <is>
          <t>IA/Tecnologia</t>
        </is>
      </c>
      <c r="G108" s="10" t="inlineStr">
        <is>
          <t>Tecnologia/IA</t>
        </is>
      </c>
      <c r="H108" s="10" t="inlineStr">
        <is>
          <t>Estilo de Vida</t>
        </is>
      </c>
      <c r="I108" s="13" t="n">
        <v>-515.4299999999999</v>
      </c>
      <c r="J108" s="10" t="n"/>
      <c r="K108" s="10" t="inlineStr">
        <is>
          <t>USD</t>
        </is>
      </c>
      <c r="L108" s="10" t="inlineStr">
        <is>
          <t>Despesa</t>
        </is>
      </c>
      <c r="M108" s="10" t="inlineStr">
        <is>
          <t>Fatura 2026-05</t>
        </is>
      </c>
    </row>
    <row r="109">
      <c r="A109" s="3" t="n">
        <v>167</v>
      </c>
      <c r="B109" s="4" t="n">
        <v>46133</v>
      </c>
      <c r="C109" s="5" t="inlineStr">
        <is>
          <t>2026-04</t>
        </is>
      </c>
      <c r="D109" s="5" t="inlineStr">
        <is>
          <t>Banco Inter</t>
        </is>
      </c>
      <c r="E109" s="5" t="inlineStr">
        <is>
          <t>Eduardo Forster Giovannini</t>
        </is>
      </c>
      <c r="F109" s="5" t="inlineStr">
        <is>
          <t>PIX Out</t>
        </is>
      </c>
      <c r="G109" s="5" t="inlineStr">
        <is>
          <t>Saída PIX</t>
        </is>
      </c>
      <c r="H109" s="5" t="inlineStr">
        <is>
          <t>Movimentação</t>
        </is>
      </c>
      <c r="I109" s="14" t="n">
        <v>-3000</v>
      </c>
      <c r="J109" s="5" t="n"/>
      <c r="K109" s="5" t="inlineStr">
        <is>
          <t>BRL</t>
        </is>
      </c>
      <c r="L109" s="5" t="inlineStr">
        <is>
          <t>Despesa</t>
        </is>
      </c>
      <c r="M109" s="5" t="inlineStr"/>
    </row>
    <row r="110">
      <c r="A110" s="8" t="n">
        <v>91</v>
      </c>
      <c r="B110" s="9" t="n">
        <v>46134</v>
      </c>
      <c r="C110" s="10" t="inlineStr">
        <is>
          <t>2026-04</t>
        </is>
      </c>
      <c r="D110" s="10" t="inlineStr">
        <is>
          <t>MP Cartão</t>
        </is>
      </c>
      <c r="E110" s="10" t="inlineStr">
        <is>
          <t>MP*EDUARDOGIOVAN</t>
        </is>
      </c>
      <c r="F110" s="10" t="inlineStr">
        <is>
          <t>Outros</t>
        </is>
      </c>
      <c r="G110" s="10" t="inlineStr">
        <is>
          <t>Outros</t>
        </is>
      </c>
      <c r="H110" s="10" t="inlineStr">
        <is>
          <t>Administrativo</t>
        </is>
      </c>
      <c r="I110" s="13" t="n">
        <v>-201.72</v>
      </c>
      <c r="J110" s="10" t="n"/>
      <c r="K110" s="10" t="inlineStr">
        <is>
          <t>USD</t>
        </is>
      </c>
      <c r="L110" s="10" t="inlineStr">
        <is>
          <t>Despesa</t>
        </is>
      </c>
      <c r="M110" s="10" t="inlineStr">
        <is>
          <t>Fatura 2026-05</t>
        </is>
      </c>
    </row>
    <row r="111">
      <c r="A111" s="3" t="n">
        <v>181</v>
      </c>
      <c r="B111" s="4" t="n">
        <v>46134</v>
      </c>
      <c r="C111" s="5" t="inlineStr">
        <is>
          <t>2026-04</t>
        </is>
      </c>
      <c r="D111" s="5" t="inlineStr">
        <is>
          <t>BCB Câmbio</t>
        </is>
      </c>
      <c r="E111" s="5" t="inlineStr">
        <is>
          <t>USA - Own Account</t>
        </is>
      </c>
      <c r="F111" s="5" t="inlineStr">
        <is>
          <t>67995 Self-transfer</t>
        </is>
      </c>
      <c r="G111" s="5" t="inlineStr">
        <is>
          <t>FX / Remessa</t>
        </is>
      </c>
      <c r="H111" s="5" t="inlineStr">
        <is>
          <t>Financeiro</t>
        </is>
      </c>
      <c r="I111" s="14" t="n">
        <v>-15878.08</v>
      </c>
      <c r="J111" s="7" t="n">
        <v>3000</v>
      </c>
      <c r="K111" s="5" t="inlineStr">
        <is>
          <t>USD</t>
        </is>
      </c>
      <c r="L111" s="5" t="inlineStr">
        <is>
          <t>Outbound</t>
        </is>
      </c>
      <c r="M111" s="5" t="inlineStr">
        <is>
          <t>Rate 5.2927</t>
        </is>
      </c>
    </row>
    <row r="112">
      <c r="A112" s="8" t="n">
        <v>92</v>
      </c>
      <c r="B112" s="9" t="n">
        <v>46135</v>
      </c>
      <c r="C112" s="10" t="inlineStr">
        <is>
          <t>2026-04</t>
        </is>
      </c>
      <c r="D112" s="10" t="inlineStr">
        <is>
          <t>MP Cartão</t>
        </is>
      </c>
      <c r="E112" s="10" t="inlineStr">
        <is>
          <t>Compra internacional em CLOUDFLARE</t>
        </is>
      </c>
      <c r="F112" s="10" t="inlineStr">
        <is>
          <t>IA/Tecnologia</t>
        </is>
      </c>
      <c r="G112" s="10" t="inlineStr">
        <is>
          <t>Tecnologia/IA</t>
        </is>
      </c>
      <c r="H112" s="10" t="inlineStr">
        <is>
          <t>Estilo de Vida</t>
        </is>
      </c>
      <c r="I112" s="13" t="n">
        <v>-107.61</v>
      </c>
      <c r="J112" s="10" t="n"/>
      <c r="K112" s="10" t="inlineStr">
        <is>
          <t>USD</t>
        </is>
      </c>
      <c r="L112" s="10" t="inlineStr">
        <is>
          <t>Despesa</t>
        </is>
      </c>
      <c r="M112" s="10" t="inlineStr">
        <is>
          <t>Fatura 2026-05</t>
        </is>
      </c>
    </row>
    <row r="113">
      <c r="A113" s="3" t="n">
        <v>93</v>
      </c>
      <c r="B113" s="4" t="n">
        <v>46135</v>
      </c>
      <c r="C113" s="5" t="inlineStr">
        <is>
          <t>2026-04</t>
        </is>
      </c>
      <c r="D113" s="5" t="inlineStr">
        <is>
          <t>MP Cartão</t>
        </is>
      </c>
      <c r="E113" s="5" t="inlineStr">
        <is>
          <t>UBER * PENDING</t>
        </is>
      </c>
      <c r="F113" s="5" t="inlineStr">
        <is>
          <t>Transporte</t>
        </is>
      </c>
      <c r="G113" s="5" t="inlineStr">
        <is>
          <t>Transporte</t>
        </is>
      </c>
      <c r="H113" s="5" t="inlineStr">
        <is>
          <t>Essencial</t>
        </is>
      </c>
      <c r="I113" s="14" t="n">
        <v>-8.140000000000001</v>
      </c>
      <c r="J113" s="5" t="n"/>
      <c r="K113" s="5" t="inlineStr">
        <is>
          <t>USD</t>
        </is>
      </c>
      <c r="L113" s="5" t="inlineStr">
        <is>
          <t>Despesa</t>
        </is>
      </c>
      <c r="M113" s="5" t="inlineStr">
        <is>
          <t>Fatura 2026-05</t>
        </is>
      </c>
    </row>
    <row r="114">
      <c r="A114" s="8" t="n">
        <v>94</v>
      </c>
      <c r="B114" s="9" t="n">
        <v>46135</v>
      </c>
      <c r="C114" s="10" t="inlineStr">
        <is>
          <t>2026-04</t>
        </is>
      </c>
      <c r="D114" s="10" t="inlineStr">
        <is>
          <t>MP Cartão</t>
        </is>
      </c>
      <c r="E114" s="10" t="inlineStr">
        <is>
          <t>MP*LOTERIASONLINE72W6</t>
        </is>
      </c>
      <c r="F114" s="10" t="inlineStr">
        <is>
          <t>Loteria</t>
        </is>
      </c>
      <c r="G114" s="10" t="inlineStr">
        <is>
          <t>Lazer</t>
        </is>
      </c>
      <c r="H114" s="10" t="inlineStr">
        <is>
          <t>Estilo de Vida</t>
        </is>
      </c>
      <c r="I114" s="13" t="n">
        <v>-336</v>
      </c>
      <c r="J114" s="10" t="n"/>
      <c r="K114" s="10" t="inlineStr">
        <is>
          <t>USD</t>
        </is>
      </c>
      <c r="L114" s="10" t="inlineStr">
        <is>
          <t>Despesa</t>
        </is>
      </c>
      <c r="M114" s="10" t="inlineStr">
        <is>
          <t>Fatura 2026-05</t>
        </is>
      </c>
    </row>
    <row r="115">
      <c r="A115" s="3" t="n">
        <v>95</v>
      </c>
      <c r="B115" s="4" t="n">
        <v>46136</v>
      </c>
      <c r="C115" s="5" t="inlineStr">
        <is>
          <t>2026-04</t>
        </is>
      </c>
      <c r="D115" s="5" t="inlineStr">
        <is>
          <t>MP Cartão</t>
        </is>
      </c>
      <c r="E115" s="5" t="inlineStr">
        <is>
          <t>APPLE.COM/BILL.</t>
        </is>
      </c>
      <c r="F115" s="5" t="inlineStr">
        <is>
          <t>Assinatura</t>
        </is>
      </c>
      <c r="G115" s="5" t="inlineStr">
        <is>
          <t>Assinaturas</t>
        </is>
      </c>
      <c r="H115" s="5" t="inlineStr">
        <is>
          <t>Estilo de Vida</t>
        </is>
      </c>
      <c r="I115" s="14" t="n">
        <v>-31.9</v>
      </c>
      <c r="J115" s="5" t="n"/>
      <c r="K115" s="5" t="inlineStr">
        <is>
          <t>BRL</t>
        </is>
      </c>
      <c r="L115" s="5" t="inlineStr">
        <is>
          <t>Despesa</t>
        </is>
      </c>
      <c r="M115" s="5" t="inlineStr">
        <is>
          <t>Fatura 2026-05</t>
        </is>
      </c>
    </row>
    <row r="116">
      <c r="A116" s="8" t="n">
        <v>96</v>
      </c>
      <c r="B116" s="9" t="n">
        <v>46136</v>
      </c>
      <c r="C116" s="10" t="inlineStr">
        <is>
          <t>2026-04</t>
        </is>
      </c>
      <c r="D116" s="10" t="inlineStr">
        <is>
          <t>MP Cartão</t>
        </is>
      </c>
      <c r="E116" s="10" t="inlineStr">
        <is>
          <t>UBER * PENDING</t>
        </is>
      </c>
      <c r="F116" s="10" t="inlineStr">
        <is>
          <t>Transporte</t>
        </is>
      </c>
      <c r="G116" s="10" t="inlineStr">
        <is>
          <t>Transporte</t>
        </is>
      </c>
      <c r="H116" s="10" t="inlineStr">
        <is>
          <t>Essencial</t>
        </is>
      </c>
      <c r="I116" s="13" t="n">
        <v>-9.960000000000001</v>
      </c>
      <c r="J116" s="10" t="n"/>
      <c r="K116" s="10" t="inlineStr">
        <is>
          <t>BRL</t>
        </is>
      </c>
      <c r="L116" s="10" t="inlineStr">
        <is>
          <t>Despesa</t>
        </is>
      </c>
      <c r="M116" s="10" t="inlineStr">
        <is>
          <t>Fatura 2026-05</t>
        </is>
      </c>
    </row>
    <row r="117">
      <c r="A117" s="3" t="n">
        <v>166</v>
      </c>
      <c r="B117" s="4" t="n">
        <v>46136</v>
      </c>
      <c r="C117" s="5" t="inlineStr">
        <is>
          <t>2026-04</t>
        </is>
      </c>
      <c r="D117" s="5" t="inlineStr">
        <is>
          <t>Banco Inter</t>
        </is>
      </c>
      <c r="E117" s="5" t="inlineStr">
        <is>
          <t>37202818 Jose Periclis De Sousa Da Costa</t>
        </is>
      </c>
      <c r="F117" s="5" t="inlineStr">
        <is>
          <t>PIX Out</t>
        </is>
      </c>
      <c r="G117" s="5" t="inlineStr">
        <is>
          <t>Saída PIX</t>
        </is>
      </c>
      <c r="H117" s="5" t="inlineStr">
        <is>
          <t>Movimentação</t>
        </is>
      </c>
      <c r="I117" s="14" t="n">
        <v>-6800</v>
      </c>
      <c r="J117" s="5" t="n"/>
      <c r="K117" s="5" t="inlineStr">
        <is>
          <t>BRL</t>
        </is>
      </c>
      <c r="L117" s="5" t="inlineStr">
        <is>
          <t>Despesa</t>
        </is>
      </c>
      <c r="M117" s="5" t="inlineStr"/>
    </row>
    <row r="118">
      <c r="A118" s="8" t="n">
        <v>97</v>
      </c>
      <c r="B118" s="9" t="n">
        <v>46137</v>
      </c>
      <c r="C118" s="10" t="inlineStr">
        <is>
          <t>2026-04</t>
        </is>
      </c>
      <c r="D118" s="10" t="inlineStr">
        <is>
          <t>MP Cartão</t>
        </is>
      </c>
      <c r="E118" s="10" t="inlineStr">
        <is>
          <t>MP*LOTERIASONLINEN7GJ</t>
        </is>
      </c>
      <c r="F118" s="10" t="inlineStr">
        <is>
          <t>Loteria</t>
        </is>
      </c>
      <c r="G118" s="10" t="inlineStr">
        <is>
          <t>Lazer</t>
        </is>
      </c>
      <c r="H118" s="10" t="inlineStr">
        <is>
          <t>Estilo de Vida</t>
        </is>
      </c>
      <c r="I118" s="13" t="n">
        <v>-168</v>
      </c>
      <c r="J118" s="10" t="n"/>
      <c r="K118" s="10" t="inlineStr">
        <is>
          <t>USD</t>
        </is>
      </c>
      <c r="L118" s="10" t="inlineStr">
        <is>
          <t>Despesa</t>
        </is>
      </c>
      <c r="M118" s="10" t="inlineStr">
        <is>
          <t>Fatura 2026-05</t>
        </is>
      </c>
    </row>
    <row r="119">
      <c r="A119" s="3" t="n">
        <v>98</v>
      </c>
      <c r="B119" s="4" t="n">
        <v>46139</v>
      </c>
      <c r="C119" s="5" t="inlineStr">
        <is>
          <t>2026-04</t>
        </is>
      </c>
      <c r="D119" s="5" t="inlineStr">
        <is>
          <t>MP Cartão</t>
        </is>
      </c>
      <c r="E119" s="5" t="inlineStr">
        <is>
          <t>Compra internacional em WWW.PERPLEXITY.AI</t>
        </is>
      </c>
      <c r="F119" s="5" t="inlineStr">
        <is>
          <t>IA/Tecnologia</t>
        </is>
      </c>
      <c r="G119" s="5" t="inlineStr">
        <is>
          <t>Tecnologia/IA</t>
        </is>
      </c>
      <c r="H119" s="5" t="inlineStr">
        <is>
          <t>Estilo de Vida</t>
        </is>
      </c>
      <c r="I119" s="14" t="n">
        <v>-103.71</v>
      </c>
      <c r="J119" s="5" t="n"/>
      <c r="K119" s="5" t="inlineStr">
        <is>
          <t>USD</t>
        </is>
      </c>
      <c r="L119" s="5" t="inlineStr">
        <is>
          <t>Despesa</t>
        </is>
      </c>
      <c r="M119" s="5" t="inlineStr">
        <is>
          <t>Fatura 2026-05</t>
        </is>
      </c>
    </row>
    <row r="120">
      <c r="A120" s="8" t="n">
        <v>99</v>
      </c>
      <c r="B120" s="9" t="n">
        <v>46139</v>
      </c>
      <c r="C120" s="10" t="inlineStr">
        <is>
          <t>2026-04</t>
        </is>
      </c>
      <c r="D120" s="10" t="inlineStr">
        <is>
          <t>MP Cartão</t>
        </is>
      </c>
      <c r="E120" s="10" t="inlineStr">
        <is>
          <t>MERCADOLIVRE*LINA</t>
        </is>
      </c>
      <c r="F120" s="10" t="inlineStr">
        <is>
          <t>Compras/ML</t>
        </is>
      </c>
      <c r="G120" s="10" t="inlineStr">
        <is>
          <t>Compras/ML</t>
        </is>
      </c>
      <c r="H120" s="10" t="inlineStr">
        <is>
          <t>Outros</t>
        </is>
      </c>
      <c r="I120" s="13" t="n">
        <v>-106.98</v>
      </c>
      <c r="J120" s="10" t="n"/>
      <c r="K120" s="10" t="inlineStr">
        <is>
          <t>USD</t>
        </is>
      </c>
      <c r="L120" s="10" t="inlineStr">
        <is>
          <t>Despesa</t>
        </is>
      </c>
      <c r="M120" s="10" t="inlineStr">
        <is>
          <t>Fatura 2026-05</t>
        </is>
      </c>
    </row>
    <row r="121">
      <c r="A121" s="3" t="n">
        <v>100</v>
      </c>
      <c r="B121" s="4" t="n">
        <v>46139</v>
      </c>
      <c r="C121" s="5" t="inlineStr">
        <is>
          <t>2026-04</t>
        </is>
      </c>
      <c r="D121" s="5" t="inlineStr">
        <is>
          <t>MP Cartão</t>
        </is>
      </c>
      <c r="E121" s="5" t="inlineStr">
        <is>
          <t>MERCADOLIVRE*MERCADOLIVRE</t>
        </is>
      </c>
      <c r="F121" s="5" t="inlineStr">
        <is>
          <t>Compras/ML</t>
        </is>
      </c>
      <c r="G121" s="5" t="inlineStr">
        <is>
          <t>Compras/ML</t>
        </is>
      </c>
      <c r="H121" s="5" t="inlineStr">
        <is>
          <t>Outros</t>
        </is>
      </c>
      <c r="I121" s="14" t="n">
        <v>-483.98</v>
      </c>
      <c r="J121" s="5" t="n"/>
      <c r="K121" s="5" t="inlineStr">
        <is>
          <t>USD</t>
        </is>
      </c>
      <c r="L121" s="5" t="inlineStr">
        <is>
          <t>Despesa</t>
        </is>
      </c>
      <c r="M121" s="5" t="inlineStr">
        <is>
          <t>Fatura 2026-05</t>
        </is>
      </c>
    </row>
    <row r="122">
      <c r="A122" s="8" t="n">
        <v>101</v>
      </c>
      <c r="B122" s="9" t="n">
        <v>46139</v>
      </c>
      <c r="C122" s="10" t="inlineStr">
        <is>
          <t>2026-04</t>
        </is>
      </c>
      <c r="D122" s="10" t="inlineStr">
        <is>
          <t>MP Cartão</t>
        </is>
      </c>
      <c r="E122" s="10" t="inlineStr">
        <is>
          <t>IFD*BIANCA DOS SANTOS</t>
        </is>
      </c>
      <c r="F122" s="10" t="inlineStr">
        <is>
          <t>Delivery/iFood</t>
        </is>
      </c>
      <c r="G122" s="10" t="inlineStr">
        <is>
          <t>Alimentação</t>
        </is>
      </c>
      <c r="H122" s="10" t="inlineStr">
        <is>
          <t>Essencial</t>
        </is>
      </c>
      <c r="I122" s="13" t="n">
        <v>-92.89</v>
      </c>
      <c r="J122" s="10" t="n"/>
      <c r="K122" s="10" t="inlineStr">
        <is>
          <t>USD</t>
        </is>
      </c>
      <c r="L122" s="10" t="inlineStr">
        <is>
          <t>Despesa</t>
        </is>
      </c>
      <c r="M122" s="10" t="inlineStr">
        <is>
          <t>Fatura 2026-05</t>
        </is>
      </c>
    </row>
    <row r="123">
      <c r="A123" s="3" t="n">
        <v>162</v>
      </c>
      <c r="B123" s="4" t="n">
        <v>46140</v>
      </c>
      <c r="C123" s="5" t="inlineStr">
        <is>
          <t>2026-04</t>
        </is>
      </c>
      <c r="D123" s="5" t="inlineStr">
        <is>
          <t>Banco Inter</t>
        </is>
      </c>
      <c r="E123" s="5" t="inlineStr">
        <is>
          <t>Eduardo F Giovannini</t>
        </is>
      </c>
      <c r="F123" s="5" t="inlineStr">
        <is>
          <t>PIX In</t>
        </is>
      </c>
      <c r="G123" s="5" t="inlineStr">
        <is>
          <t>Entrada PIX</t>
        </is>
      </c>
      <c r="H123" s="5" t="inlineStr">
        <is>
          <t>Movimentação</t>
        </is>
      </c>
      <c r="I123" s="6" t="n">
        <v>40000</v>
      </c>
      <c r="J123" s="5" t="n"/>
      <c r="K123" s="5" t="inlineStr">
        <is>
          <t>BRL</t>
        </is>
      </c>
      <c r="L123" s="5" t="inlineStr">
        <is>
          <t>Receita</t>
        </is>
      </c>
      <c r="M123" s="5" t="inlineStr"/>
    </row>
    <row r="124">
      <c r="A124" s="8" t="n">
        <v>163</v>
      </c>
      <c r="B124" s="9" t="n">
        <v>46140</v>
      </c>
      <c r="C124" s="10" t="inlineStr">
        <is>
          <t>2026-04</t>
        </is>
      </c>
      <c r="D124" s="10" t="inlineStr">
        <is>
          <t>Banco Inter</t>
        </is>
      </c>
      <c r="E124" s="10" t="inlineStr">
        <is>
          <t>Gloria Raquel M C Nobrega</t>
        </is>
      </c>
      <c r="F124" s="10" t="inlineStr">
        <is>
          <t>PIX Out</t>
        </is>
      </c>
      <c r="G124" s="10" t="inlineStr">
        <is>
          <t>Saída PIX</t>
        </is>
      </c>
      <c r="H124" s="10" t="inlineStr">
        <is>
          <t>Movimentação</t>
        </is>
      </c>
      <c r="I124" s="13" t="n">
        <v>-50</v>
      </c>
      <c r="J124" s="10" t="n"/>
      <c r="K124" s="10" t="inlineStr">
        <is>
          <t>BRL</t>
        </is>
      </c>
      <c r="L124" s="10" t="inlineStr">
        <is>
          <t>Despesa</t>
        </is>
      </c>
      <c r="M124" s="10" t="inlineStr"/>
    </row>
    <row r="125">
      <c r="A125" s="3" t="n">
        <v>164</v>
      </c>
      <c r="B125" s="4" t="n">
        <v>46140</v>
      </c>
      <c r="C125" s="5" t="inlineStr">
        <is>
          <t>2026-04</t>
        </is>
      </c>
      <c r="D125" s="5" t="inlineStr">
        <is>
          <t>Banco Inter</t>
        </is>
      </c>
      <c r="E125" s="5" t="inlineStr">
        <is>
          <t>Mag Administracao De Negocios Ltda</t>
        </is>
      </c>
      <c r="F125" s="5" t="inlineStr">
        <is>
          <t>PIX Out</t>
        </is>
      </c>
      <c r="G125" s="5" t="inlineStr">
        <is>
          <t>Saída PIX</t>
        </is>
      </c>
      <c r="H125" s="5" t="inlineStr">
        <is>
          <t>Movimentação</t>
        </is>
      </c>
      <c r="I125" s="14" t="n">
        <v>-10</v>
      </c>
      <c r="J125" s="5" t="n"/>
      <c r="K125" s="5" t="inlineStr">
        <is>
          <t>BRL</t>
        </is>
      </c>
      <c r="L125" s="5" t="inlineStr">
        <is>
          <t>Despesa</t>
        </is>
      </c>
      <c r="M125" s="5" t="inlineStr"/>
    </row>
    <row r="126">
      <c r="A126" s="8" t="n">
        <v>165</v>
      </c>
      <c r="B126" s="9" t="n">
        <v>46140</v>
      </c>
      <c r="C126" s="10" t="inlineStr">
        <is>
          <t>2026-04</t>
        </is>
      </c>
      <c r="D126" s="10" t="inlineStr">
        <is>
          <t>Banco Inter</t>
        </is>
      </c>
      <c r="E126" s="10" t="inlineStr">
        <is>
          <t>Eduardo Silva Dos Santos</t>
        </is>
      </c>
      <c r="F126" s="10" t="inlineStr">
        <is>
          <t>PIX Out</t>
        </is>
      </c>
      <c r="G126" s="10" t="inlineStr">
        <is>
          <t>Saída PIX</t>
        </is>
      </c>
      <c r="H126" s="10" t="inlineStr">
        <is>
          <t>Movimentação</t>
        </is>
      </c>
      <c r="I126" s="13" t="n">
        <v>-470</v>
      </c>
      <c r="J126" s="10" t="n"/>
      <c r="K126" s="10" t="inlineStr">
        <is>
          <t>BRL</t>
        </is>
      </c>
      <c r="L126" s="10" t="inlineStr">
        <is>
          <t>Despesa</t>
        </is>
      </c>
      <c r="M126" s="10" t="inlineStr"/>
    </row>
    <row r="127">
      <c r="A127" s="3" t="n">
        <v>102</v>
      </c>
      <c r="B127" s="4" t="n">
        <v>46142</v>
      </c>
      <c r="C127" s="5" t="inlineStr">
        <is>
          <t>2026-04</t>
        </is>
      </c>
      <c r="D127" s="5" t="inlineStr">
        <is>
          <t>MP Cartão</t>
        </is>
      </c>
      <c r="E127" s="5" t="inlineStr">
        <is>
          <t>Compra internacional em WWW.PERPLEXITY.AI</t>
        </is>
      </c>
      <c r="F127" s="5" t="inlineStr">
        <is>
          <t>IA/Tecnologia</t>
        </is>
      </c>
      <c r="G127" s="5" t="inlineStr">
        <is>
          <t>Tecnologia/IA</t>
        </is>
      </c>
      <c r="H127" s="5" t="inlineStr">
        <is>
          <t>Estilo de Vida</t>
        </is>
      </c>
      <c r="I127" s="14" t="n">
        <v>-155.25</v>
      </c>
      <c r="J127" s="5" t="n"/>
      <c r="K127" s="5" t="inlineStr">
        <is>
          <t>USD</t>
        </is>
      </c>
      <c r="L127" s="5" t="inlineStr">
        <is>
          <t>Despesa</t>
        </is>
      </c>
      <c r="M127" s="5" t="inlineStr">
        <is>
          <t>Fatura 2026-05</t>
        </is>
      </c>
    </row>
    <row r="128">
      <c r="A128" s="8" t="n">
        <v>103</v>
      </c>
      <c r="B128" s="9" t="n">
        <v>46142</v>
      </c>
      <c r="C128" s="10" t="inlineStr">
        <is>
          <t>2026-04</t>
        </is>
      </c>
      <c r="D128" s="10" t="inlineStr">
        <is>
          <t>MP Cartão</t>
        </is>
      </c>
      <c r="E128" s="10" t="inlineStr">
        <is>
          <t>APPLE.COM/BILL.</t>
        </is>
      </c>
      <c r="F128" s="10" t="inlineStr">
        <is>
          <t>Assinatura</t>
        </is>
      </c>
      <c r="G128" s="10" t="inlineStr">
        <is>
          <t>Assinaturas</t>
        </is>
      </c>
      <c r="H128" s="10" t="inlineStr">
        <is>
          <t>Estilo de Vida</t>
        </is>
      </c>
      <c r="I128" s="13" t="n">
        <v>-99.90000000000001</v>
      </c>
      <c r="J128" s="10" t="n"/>
      <c r="K128" s="10" t="inlineStr">
        <is>
          <t>USD</t>
        </is>
      </c>
      <c r="L128" s="10" t="inlineStr">
        <is>
          <t>Despesa</t>
        </is>
      </c>
      <c r="M128" s="10" t="inlineStr">
        <is>
          <t>Fatura 2026-05</t>
        </is>
      </c>
    </row>
    <row r="129">
      <c r="A129" s="3" t="n">
        <v>104</v>
      </c>
      <c r="B129" s="4" t="n">
        <v>46142</v>
      </c>
      <c r="C129" s="5" t="inlineStr">
        <is>
          <t>2026-04</t>
        </is>
      </c>
      <c r="D129" s="5" t="inlineStr">
        <is>
          <t>MP Cartão</t>
        </is>
      </c>
      <c r="E129" s="5" t="inlineStr">
        <is>
          <t>UBER * PENDING</t>
        </is>
      </c>
      <c r="F129" s="5" t="inlineStr">
        <is>
          <t>Transporte</t>
        </is>
      </c>
      <c r="G129" s="5" t="inlineStr">
        <is>
          <t>Transporte</t>
        </is>
      </c>
      <c r="H129" s="5" t="inlineStr">
        <is>
          <t>Essencial</t>
        </is>
      </c>
      <c r="I129" s="14" t="n">
        <v>-16.77</v>
      </c>
      <c r="J129" s="5" t="n"/>
      <c r="K129" s="5" t="inlineStr">
        <is>
          <t>USD</t>
        </is>
      </c>
      <c r="L129" s="5" t="inlineStr">
        <is>
          <t>Despesa</t>
        </is>
      </c>
      <c r="M129" s="5" t="inlineStr">
        <is>
          <t>Fatura 2026-05</t>
        </is>
      </c>
    </row>
    <row r="130">
      <c r="A130" s="8" t="n">
        <v>182</v>
      </c>
      <c r="B130" s="9" t="n">
        <v>46142</v>
      </c>
      <c r="C130" s="10" t="inlineStr">
        <is>
          <t>2026-04</t>
        </is>
      </c>
      <c r="D130" s="10" t="inlineStr">
        <is>
          <t>BCB Câmbio</t>
        </is>
      </c>
      <c r="E130" s="10" t="inlineStr">
        <is>
          <t>Interactive Brokers</t>
        </is>
      </c>
      <c r="F130" s="10" t="inlineStr">
        <is>
          <t>91992 IB deposit</t>
        </is>
      </c>
      <c r="G130" s="10" t="inlineStr">
        <is>
          <t>Investimentos</t>
        </is>
      </c>
      <c r="H130" s="10" t="inlineStr">
        <is>
          <t>Financeiro</t>
        </is>
      </c>
      <c r="I130" s="11" t="n">
        <v>503.62</v>
      </c>
      <c r="J130" s="12" t="n">
        <v>100</v>
      </c>
      <c r="K130" s="10" t="inlineStr">
        <is>
          <t>USD</t>
        </is>
      </c>
      <c r="L130" s="10" t="inlineStr">
        <is>
          <t>IB Deposit</t>
        </is>
      </c>
      <c r="M130" s="10" t="inlineStr">
        <is>
          <t>Rate 5.0362</t>
        </is>
      </c>
    </row>
    <row r="131">
      <c r="A131" s="3" t="n">
        <v>105</v>
      </c>
      <c r="B131" s="4" t="n">
        <v>46143</v>
      </c>
      <c r="C131" s="5" t="inlineStr">
        <is>
          <t>2026-05</t>
        </is>
      </c>
      <c r="D131" s="5" t="inlineStr">
        <is>
          <t>MP Cartão</t>
        </is>
      </c>
      <c r="E131" s="5" t="inlineStr">
        <is>
          <t>Compra internacional em CURSOR, AI POWERED IDE</t>
        </is>
      </c>
      <c r="F131" s="5" t="inlineStr">
        <is>
          <t>IA/Tecnologia</t>
        </is>
      </c>
      <c r="G131" s="5" t="inlineStr">
        <is>
          <t>Tecnologia/IA</t>
        </is>
      </c>
      <c r="H131" s="5" t="inlineStr">
        <is>
          <t>Estilo de Vida</t>
        </is>
      </c>
      <c r="I131" s="14" t="n">
        <v>-111.81</v>
      </c>
      <c r="J131" s="5" t="n"/>
      <c r="K131" s="5" t="inlineStr">
        <is>
          <t>USD</t>
        </is>
      </c>
      <c r="L131" s="5" t="inlineStr">
        <is>
          <t>Despesa</t>
        </is>
      </c>
      <c r="M131" s="5" t="inlineStr">
        <is>
          <t>Fatura 2026-05</t>
        </is>
      </c>
    </row>
    <row r="132">
      <c r="A132" s="8" t="n">
        <v>106</v>
      </c>
      <c r="B132" s="9" t="n">
        <v>46143</v>
      </c>
      <c r="C132" s="10" t="inlineStr">
        <is>
          <t>2026-05</t>
        </is>
      </c>
      <c r="D132" s="10" t="inlineStr">
        <is>
          <t>MP Cartão</t>
        </is>
      </c>
      <c r="E132" s="10" t="inlineStr">
        <is>
          <t>Compra internacional em OPENAI* CHATGPT CREDIT</t>
        </is>
      </c>
      <c r="F132" s="10" t="inlineStr">
        <is>
          <t>IA/Tecnologia</t>
        </is>
      </c>
      <c r="G132" s="10" t="inlineStr">
        <is>
          <t>Tecnologia/IA</t>
        </is>
      </c>
      <c r="H132" s="10" t="inlineStr">
        <is>
          <t>Estilo de Vida</t>
        </is>
      </c>
      <c r="I132" s="13" t="n">
        <v>-206.59</v>
      </c>
      <c r="J132" s="10" t="n"/>
      <c r="K132" s="10" t="inlineStr">
        <is>
          <t>USD</t>
        </is>
      </c>
      <c r="L132" s="10" t="inlineStr">
        <is>
          <t>Despesa</t>
        </is>
      </c>
      <c r="M132" s="10" t="inlineStr">
        <is>
          <t>Fatura 2026-05</t>
        </is>
      </c>
    </row>
    <row r="133">
      <c r="A133" s="3" t="n">
        <v>107</v>
      </c>
      <c r="B133" s="4" t="n">
        <v>46144</v>
      </c>
      <c r="C133" s="5" t="inlineStr">
        <is>
          <t>2026-05</t>
        </is>
      </c>
      <c r="D133" s="5" t="inlineStr">
        <is>
          <t>MP Cartão</t>
        </is>
      </c>
      <c r="E133" s="5" t="inlineStr">
        <is>
          <t>IFD*BIANCA DOS SANTOS</t>
        </is>
      </c>
      <c r="F133" s="5" t="inlineStr">
        <is>
          <t>Delivery/iFood</t>
        </is>
      </c>
      <c r="G133" s="5" t="inlineStr">
        <is>
          <t>Alimentação</t>
        </is>
      </c>
      <c r="H133" s="5" t="inlineStr">
        <is>
          <t>Essencial</t>
        </is>
      </c>
      <c r="I133" s="14" t="n">
        <v>-96.98999999999999</v>
      </c>
      <c r="J133" s="5" t="n"/>
      <c r="K133" s="5" t="inlineStr">
        <is>
          <t>BRL</t>
        </is>
      </c>
      <c r="L133" s="5" t="inlineStr">
        <is>
          <t>Despesa</t>
        </is>
      </c>
      <c r="M133" s="5" t="inlineStr">
        <is>
          <t>Fatura 2026-05</t>
        </is>
      </c>
    </row>
    <row r="134">
      <c r="A134" s="8" t="n">
        <v>108</v>
      </c>
      <c r="B134" s="9" t="n">
        <v>46145</v>
      </c>
      <c r="C134" s="10" t="inlineStr">
        <is>
          <t>2026-05</t>
        </is>
      </c>
      <c r="D134" s="10" t="inlineStr">
        <is>
          <t>MP Cartão</t>
        </is>
      </c>
      <c r="E134" s="10" t="inlineStr">
        <is>
          <t>STARLINK INTERNET</t>
        </is>
      </c>
      <c r="F134" s="10" t="inlineStr">
        <is>
          <t>Internet</t>
        </is>
      </c>
      <c r="G134" s="10" t="inlineStr">
        <is>
          <t>Telecomunicações</t>
        </is>
      </c>
      <c r="H134" s="10" t="inlineStr">
        <is>
          <t>Essencial</t>
        </is>
      </c>
      <c r="I134" s="13" t="n">
        <v>-235.52</v>
      </c>
      <c r="J134" s="10" t="n"/>
      <c r="K134" s="10" t="inlineStr">
        <is>
          <t>BRL</t>
        </is>
      </c>
      <c r="L134" s="10" t="inlineStr">
        <is>
          <t>Despesa</t>
        </is>
      </c>
      <c r="M134" s="10" t="inlineStr">
        <is>
          <t>Fatura 2026-05</t>
        </is>
      </c>
    </row>
    <row r="135">
      <c r="A135" s="3" t="n">
        <v>109</v>
      </c>
      <c r="B135" s="4" t="n">
        <v>46147</v>
      </c>
      <c r="C135" s="5" t="inlineStr">
        <is>
          <t>2026-05</t>
        </is>
      </c>
      <c r="D135" s="5" t="inlineStr">
        <is>
          <t>MP Cartão</t>
        </is>
      </c>
      <c r="E135" s="5" t="inlineStr">
        <is>
          <t>UBER * PENDING</t>
        </is>
      </c>
      <c r="F135" s="5" t="inlineStr">
        <is>
          <t>Transporte</t>
        </is>
      </c>
      <c r="G135" s="5" t="inlineStr">
        <is>
          <t>Transporte</t>
        </is>
      </c>
      <c r="H135" s="5" t="inlineStr">
        <is>
          <t>Essencial</t>
        </is>
      </c>
      <c r="I135" s="14" t="n">
        <v>-29.97</v>
      </c>
      <c r="J135" s="5" t="n"/>
      <c r="K135" s="5" t="inlineStr">
        <is>
          <t>USD</t>
        </is>
      </c>
      <c r="L135" s="5" t="inlineStr">
        <is>
          <t>Despesa</t>
        </is>
      </c>
      <c r="M135" s="5" t="inlineStr">
        <is>
          <t>Fatura 2026-06</t>
        </is>
      </c>
    </row>
    <row r="136">
      <c r="A136" s="8" t="n">
        <v>110</v>
      </c>
      <c r="B136" s="9" t="n">
        <v>46147</v>
      </c>
      <c r="C136" s="10" t="inlineStr">
        <is>
          <t>2026-05</t>
        </is>
      </c>
      <c r="D136" s="10" t="inlineStr">
        <is>
          <t>MP Cartão</t>
        </is>
      </c>
      <c r="E136" s="10" t="inlineStr">
        <is>
          <t>UBER * PENDING</t>
        </is>
      </c>
      <c r="F136" s="10" t="inlineStr">
        <is>
          <t>Transporte</t>
        </is>
      </c>
      <c r="G136" s="10" t="inlineStr">
        <is>
          <t>Transporte</t>
        </is>
      </c>
      <c r="H136" s="10" t="inlineStr">
        <is>
          <t>Essencial</t>
        </is>
      </c>
      <c r="I136" s="13" t="n">
        <v>-25.93</v>
      </c>
      <c r="J136" s="10" t="n"/>
      <c r="K136" s="10" t="inlineStr">
        <is>
          <t>USD</t>
        </is>
      </c>
      <c r="L136" s="10" t="inlineStr">
        <is>
          <t>Despesa</t>
        </is>
      </c>
      <c r="M136" s="10" t="inlineStr">
        <is>
          <t>Fatura 2026-06</t>
        </is>
      </c>
    </row>
    <row r="137">
      <c r="A137" s="3" t="n">
        <v>111</v>
      </c>
      <c r="B137" s="4" t="n">
        <v>46147</v>
      </c>
      <c r="C137" s="5" t="inlineStr">
        <is>
          <t>2026-05</t>
        </is>
      </c>
      <c r="D137" s="5" t="inlineStr">
        <is>
          <t>MP Cartão</t>
        </is>
      </c>
      <c r="E137" s="5" t="inlineStr">
        <is>
          <t>MP*LOTERIASONLINEJOSJ</t>
        </is>
      </c>
      <c r="F137" s="5" t="inlineStr">
        <is>
          <t>Loteria</t>
        </is>
      </c>
      <c r="G137" s="5" t="inlineStr">
        <is>
          <t>Lazer</t>
        </is>
      </c>
      <c r="H137" s="5" t="inlineStr">
        <is>
          <t>Estilo de Vida</t>
        </is>
      </c>
      <c r="I137" s="14" t="n">
        <v>-248</v>
      </c>
      <c r="J137" s="5" t="n"/>
      <c r="K137" s="5" t="inlineStr">
        <is>
          <t>USD</t>
        </is>
      </c>
      <c r="L137" s="5" t="inlineStr">
        <is>
          <t>Despesa</t>
        </is>
      </c>
      <c r="M137" s="5" t="inlineStr">
        <is>
          <t>Fatura 2026-06</t>
        </is>
      </c>
    </row>
    <row r="138">
      <c r="A138" s="8" t="n">
        <v>112</v>
      </c>
      <c r="B138" s="9" t="n">
        <v>46148</v>
      </c>
      <c r="C138" s="10" t="inlineStr">
        <is>
          <t>2026-05</t>
        </is>
      </c>
      <c r="D138" s="10" t="inlineStr">
        <is>
          <t>MP Cartão</t>
        </is>
      </c>
      <c r="E138" s="10" t="inlineStr">
        <is>
          <t>Compra internacional em OPENAI *CHATGPT SUBSCR</t>
        </is>
      </c>
      <c r="F138" s="10" t="inlineStr">
        <is>
          <t>IA/Tecnologia</t>
        </is>
      </c>
      <c r="G138" s="10" t="inlineStr">
        <is>
          <t>Tecnologia/IA</t>
        </is>
      </c>
      <c r="H138" s="10" t="inlineStr">
        <is>
          <t>Estilo de Vida</t>
        </is>
      </c>
      <c r="I138" s="13" t="n">
        <v>-101.85</v>
      </c>
      <c r="J138" s="10" t="n"/>
      <c r="K138" s="10" t="inlineStr">
        <is>
          <t>USD</t>
        </is>
      </c>
      <c r="L138" s="10" t="inlineStr">
        <is>
          <t>Despesa</t>
        </is>
      </c>
      <c r="M138" s="10" t="inlineStr">
        <is>
          <t>Fatura 2026-06</t>
        </is>
      </c>
    </row>
    <row r="139">
      <c r="A139" s="3" t="n">
        <v>183</v>
      </c>
      <c r="B139" s="4" t="n">
        <v>46149</v>
      </c>
      <c r="C139" s="5" t="inlineStr">
        <is>
          <t>2026-05</t>
        </is>
      </c>
      <c r="D139" s="5" t="inlineStr">
        <is>
          <t>BCB Câmbio</t>
        </is>
      </c>
      <c r="E139" s="5" t="inlineStr">
        <is>
          <t>USA - Own Account</t>
        </is>
      </c>
      <c r="F139" s="5" t="inlineStr">
        <is>
          <t>67995 Self-transfer</t>
        </is>
      </c>
      <c r="G139" s="5" t="inlineStr">
        <is>
          <t>FX / Remessa</t>
        </is>
      </c>
      <c r="H139" s="5" t="inlineStr">
        <is>
          <t>Financeiro</t>
        </is>
      </c>
      <c r="I139" s="14" t="n">
        <v>-15132.89</v>
      </c>
      <c r="J139" s="7" t="n">
        <v>3000</v>
      </c>
      <c r="K139" s="5" t="inlineStr">
        <is>
          <t>USD</t>
        </is>
      </c>
      <c r="L139" s="5" t="inlineStr">
        <is>
          <t>Outbound</t>
        </is>
      </c>
      <c r="M139" s="5" t="inlineStr">
        <is>
          <t>Rate 5.0443</t>
        </is>
      </c>
    </row>
    <row r="140">
      <c r="A140" s="8" t="n">
        <v>184</v>
      </c>
      <c r="B140" s="9" t="n">
        <v>46149</v>
      </c>
      <c r="C140" s="10" t="inlineStr">
        <is>
          <t>2026-05</t>
        </is>
      </c>
      <c r="D140" s="10" t="inlineStr">
        <is>
          <t>BCB Câmbio</t>
        </is>
      </c>
      <c r="E140" s="10" t="inlineStr">
        <is>
          <t>USA - Own Account</t>
        </is>
      </c>
      <c r="F140" s="10" t="inlineStr">
        <is>
          <t>67995 Self-transfer via Inter</t>
        </is>
      </c>
      <c r="G140" s="10" t="inlineStr">
        <is>
          <t>FX / Remessa</t>
        </is>
      </c>
      <c r="H140" s="10" t="inlineStr">
        <is>
          <t>Financeiro</t>
        </is>
      </c>
      <c r="I140" s="13" t="n">
        <v>-24939.84</v>
      </c>
      <c r="J140" s="12" t="n">
        <v>5000</v>
      </c>
      <c r="K140" s="10" t="inlineStr">
        <is>
          <t>USD</t>
        </is>
      </c>
      <c r="L140" s="10" t="inlineStr">
        <is>
          <t>Outbound</t>
        </is>
      </c>
      <c r="M140" s="10" t="inlineStr">
        <is>
          <t>Rate 4.9880</t>
        </is>
      </c>
    </row>
    <row r="141">
      <c r="A141" s="3" t="n">
        <v>113</v>
      </c>
      <c r="B141" s="4" t="n">
        <v>46150</v>
      </c>
      <c r="C141" s="5" t="inlineStr">
        <is>
          <t>2026-05</t>
        </is>
      </c>
      <c r="D141" s="5" t="inlineStr">
        <is>
          <t>MP Cartão</t>
        </is>
      </c>
      <c r="E141" s="5" t="inlineStr">
        <is>
          <t>Compra internacional em GITHUB, INC.</t>
        </is>
      </c>
      <c r="F141" s="5" t="inlineStr">
        <is>
          <t>IA/Tecnologia</t>
        </is>
      </c>
      <c r="G141" s="5" t="inlineStr">
        <is>
          <t>Tecnologia/IA</t>
        </is>
      </c>
      <c r="H141" s="5" t="inlineStr">
        <is>
          <t>Estilo de Vida</t>
        </is>
      </c>
      <c r="I141" s="14" t="n">
        <v>-50.93</v>
      </c>
      <c r="J141" s="5" t="n"/>
      <c r="K141" s="5" t="inlineStr">
        <is>
          <t>USD</t>
        </is>
      </c>
      <c r="L141" s="5" t="inlineStr">
        <is>
          <t>Despesa</t>
        </is>
      </c>
      <c r="M141" s="5" t="inlineStr">
        <is>
          <t>Fatura 2026-06</t>
        </is>
      </c>
    </row>
    <row r="142">
      <c r="A142" s="8" t="n">
        <v>161</v>
      </c>
      <c r="B142" s="9" t="n">
        <v>46150</v>
      </c>
      <c r="C142" s="10" t="inlineStr">
        <is>
          <t>2026-05</t>
        </is>
      </c>
      <c r="D142" s="10" t="inlineStr">
        <is>
          <t>Banco Inter</t>
        </is>
      </c>
      <c r="E142" s="10" t="inlineStr">
        <is>
          <t>Eduardo F Giovannini</t>
        </is>
      </c>
      <c r="F142" s="10" t="inlineStr">
        <is>
          <t>PIX In</t>
        </is>
      </c>
      <c r="G142" s="10" t="inlineStr">
        <is>
          <t>Entrada PIX</t>
        </is>
      </c>
      <c r="H142" s="10" t="inlineStr">
        <is>
          <t>Movimentação</t>
        </is>
      </c>
      <c r="I142" s="11" t="n">
        <v>40000</v>
      </c>
      <c r="J142" s="10" t="n"/>
      <c r="K142" s="10" t="inlineStr">
        <is>
          <t>BRL</t>
        </is>
      </c>
      <c r="L142" s="10" t="inlineStr">
        <is>
          <t>Receita</t>
        </is>
      </c>
      <c r="M142" s="10" t="inlineStr"/>
    </row>
    <row r="143">
      <c r="A143" s="3" t="n">
        <v>114</v>
      </c>
      <c r="B143" s="4" t="n">
        <v>46151</v>
      </c>
      <c r="C143" s="5" t="inlineStr">
        <is>
          <t>2026-05</t>
        </is>
      </c>
      <c r="D143" s="5" t="inlineStr">
        <is>
          <t>MP Cartão</t>
        </is>
      </c>
      <c r="E143" s="5" t="inlineStr">
        <is>
          <t>MP*LOTERIASONLINEDB7Z</t>
        </is>
      </c>
      <c r="F143" s="5" t="inlineStr">
        <is>
          <t>Loteria</t>
        </is>
      </c>
      <c r="G143" s="5" t="inlineStr">
        <is>
          <t>Lazer</t>
        </is>
      </c>
      <c r="H143" s="5" t="inlineStr">
        <is>
          <t>Estilo de Vida</t>
        </is>
      </c>
      <c r="I143" s="14" t="n">
        <v>-151</v>
      </c>
      <c r="J143" s="5" t="n"/>
      <c r="K143" s="5" t="inlineStr">
        <is>
          <t>BRL</t>
        </is>
      </c>
      <c r="L143" s="5" t="inlineStr">
        <is>
          <t>Despesa</t>
        </is>
      </c>
      <c r="M143" s="5" t="inlineStr">
        <is>
          <t>Fatura 2026-06</t>
        </is>
      </c>
    </row>
    <row r="144">
      <c r="A144" s="8" t="n">
        <v>115</v>
      </c>
      <c r="B144" s="9" t="n">
        <v>46152</v>
      </c>
      <c r="C144" s="10" t="inlineStr">
        <is>
          <t>2026-05</t>
        </is>
      </c>
      <c r="D144" s="10" t="inlineStr">
        <is>
          <t>MP Cartão</t>
        </is>
      </c>
      <c r="E144" s="10" t="inlineStr">
        <is>
          <t>APPLE.COM/BILL</t>
        </is>
      </c>
      <c r="F144" s="10" t="inlineStr">
        <is>
          <t>Assinatura</t>
        </is>
      </c>
      <c r="G144" s="10" t="inlineStr">
        <is>
          <t>Assinaturas</t>
        </is>
      </c>
      <c r="H144" s="10" t="inlineStr">
        <is>
          <t>Estilo de Vida</t>
        </is>
      </c>
      <c r="I144" s="13" t="n">
        <v>-19.9</v>
      </c>
      <c r="J144" s="10" t="n"/>
      <c r="K144" s="10" t="inlineStr">
        <is>
          <t>USD</t>
        </is>
      </c>
      <c r="L144" s="10" t="inlineStr">
        <is>
          <t>Despesa</t>
        </is>
      </c>
      <c r="M144" s="10" t="inlineStr">
        <is>
          <t>Fatura 2026-06</t>
        </is>
      </c>
    </row>
    <row r="145">
      <c r="A145" s="3" t="n">
        <v>116</v>
      </c>
      <c r="B145" s="4" t="n">
        <v>46153</v>
      </c>
      <c r="C145" s="5" t="inlineStr">
        <is>
          <t>2026-05</t>
        </is>
      </c>
      <c r="D145" s="5" t="inlineStr">
        <is>
          <t>MP Cartão</t>
        </is>
      </c>
      <c r="E145" s="5" t="inlineStr">
        <is>
          <t>IFD*iFood</t>
        </is>
      </c>
      <c r="F145" s="5" t="inlineStr">
        <is>
          <t>Delivery/iFood</t>
        </is>
      </c>
      <c r="G145" s="5" t="inlineStr">
        <is>
          <t>Alimentação</t>
        </is>
      </c>
      <c r="H145" s="5" t="inlineStr">
        <is>
          <t>Essencial</t>
        </is>
      </c>
      <c r="I145" s="14" t="n">
        <v>-7.95</v>
      </c>
      <c r="J145" s="5" t="n"/>
      <c r="K145" s="5" t="inlineStr">
        <is>
          <t>USD</t>
        </is>
      </c>
      <c r="L145" s="5" t="inlineStr">
        <is>
          <t>Despesa</t>
        </is>
      </c>
      <c r="M145" s="5" t="inlineStr">
        <is>
          <t>Fatura 2026-06</t>
        </is>
      </c>
    </row>
    <row r="146">
      <c r="A146" s="8" t="n">
        <v>160</v>
      </c>
      <c r="B146" s="9" t="n">
        <v>46153</v>
      </c>
      <c r="C146" s="10" t="inlineStr">
        <is>
          <t>2026-05</t>
        </is>
      </c>
      <c r="D146" s="10" t="inlineStr">
        <is>
          <t>Banco Inter</t>
        </is>
      </c>
      <c r="E146" s="10" t="inlineStr">
        <is>
          <t>Eduardo F Giovannini</t>
        </is>
      </c>
      <c r="F146" s="10" t="inlineStr">
        <is>
          <t>PIX In</t>
        </is>
      </c>
      <c r="G146" s="10" t="inlineStr">
        <is>
          <t>Entrada PIX</t>
        </is>
      </c>
      <c r="H146" s="10" t="inlineStr">
        <is>
          <t>Movimentação</t>
        </is>
      </c>
      <c r="I146" s="11" t="n">
        <v>40000</v>
      </c>
      <c r="J146" s="10" t="n"/>
      <c r="K146" s="10" t="inlineStr">
        <is>
          <t>BRL</t>
        </is>
      </c>
      <c r="L146" s="10" t="inlineStr">
        <is>
          <t>Receita</t>
        </is>
      </c>
      <c r="M146" s="10" t="inlineStr"/>
    </row>
    <row r="147">
      <c r="A147" s="3" t="n">
        <v>185</v>
      </c>
      <c r="B147" s="4" t="n">
        <v>46153</v>
      </c>
      <c r="C147" s="5" t="inlineStr">
        <is>
          <t>2026-05</t>
        </is>
      </c>
      <c r="D147" s="5" t="inlineStr">
        <is>
          <t>BCB Câmbio</t>
        </is>
      </c>
      <c r="E147" s="5" t="inlineStr">
        <is>
          <t>USA - Own Account</t>
        </is>
      </c>
      <c r="F147" s="5" t="inlineStr">
        <is>
          <t>67995 Self-transfer via Inter</t>
        </is>
      </c>
      <c r="G147" s="5" t="inlineStr">
        <is>
          <t>FX / Remessa</t>
        </is>
      </c>
      <c r="H147" s="5" t="inlineStr">
        <is>
          <t>Financeiro</t>
        </is>
      </c>
      <c r="I147" s="14" t="n">
        <v>-74340.39999999999</v>
      </c>
      <c r="J147" s="7" t="n">
        <v>15000</v>
      </c>
      <c r="K147" s="5" t="inlineStr">
        <is>
          <t>USD</t>
        </is>
      </c>
      <c r="L147" s="5" t="inlineStr">
        <is>
          <t>Outbound</t>
        </is>
      </c>
      <c r="M147" s="5" t="inlineStr">
        <is>
          <t>Rate 4.9560</t>
        </is>
      </c>
    </row>
    <row r="148">
      <c r="A148" s="8" t="n">
        <v>159</v>
      </c>
      <c r="B148" s="9" t="n">
        <v>46157</v>
      </c>
      <c r="C148" s="10" t="inlineStr">
        <is>
          <t>2026-05</t>
        </is>
      </c>
      <c r="D148" s="10" t="inlineStr">
        <is>
          <t>Banco Inter</t>
        </is>
      </c>
      <c r="E148" s="10" t="inlineStr">
        <is>
          <t>Wise Brasil Corretora De Cambio Ltda</t>
        </is>
      </c>
      <c r="F148" s="10" t="inlineStr">
        <is>
          <t>PIX Out</t>
        </is>
      </c>
      <c r="G148" s="10" t="inlineStr">
        <is>
          <t>Saída PIX</t>
        </is>
      </c>
      <c r="H148" s="10" t="inlineStr">
        <is>
          <t>Movimentação</t>
        </is>
      </c>
      <c r="I148" s="13" t="n">
        <v>-1299.97</v>
      </c>
      <c r="J148" s="10" t="n"/>
      <c r="K148" s="10" t="inlineStr">
        <is>
          <t>BRL</t>
        </is>
      </c>
      <c r="L148" s="10" t="inlineStr">
        <is>
          <t>Despesa</t>
        </is>
      </c>
      <c r="M148" s="10" t="inlineStr"/>
    </row>
    <row r="149">
      <c r="A149" s="3" t="n">
        <v>186</v>
      </c>
      <c r="B149" s="4" t="n">
        <v>46157</v>
      </c>
      <c r="C149" s="5" t="inlineStr">
        <is>
          <t>2026-05</t>
        </is>
      </c>
      <c r="D149" s="5" t="inlineStr">
        <is>
          <t>BCB Câmbio</t>
        </is>
      </c>
      <c r="E149" s="5" t="inlineStr">
        <is>
          <t>USA - Own Account</t>
        </is>
      </c>
      <c r="F149" s="5" t="inlineStr">
        <is>
          <t>67995 Self-transfer</t>
        </is>
      </c>
      <c r="G149" s="5" t="inlineStr">
        <is>
          <t>FX / Remessa</t>
        </is>
      </c>
      <c r="H149" s="5" t="inlineStr">
        <is>
          <t>Financeiro</t>
        </is>
      </c>
      <c r="I149" s="14" t="n">
        <v>-2577.87</v>
      </c>
      <c r="J149" s="7" t="n">
        <v>500</v>
      </c>
      <c r="K149" s="5" t="inlineStr">
        <is>
          <t>USD</t>
        </is>
      </c>
      <c r="L149" s="5" t="inlineStr">
        <is>
          <t>Outbound</t>
        </is>
      </c>
      <c r="M149" s="5" t="inlineStr">
        <is>
          <t>Rate 5.1558</t>
        </is>
      </c>
    </row>
    <row r="150">
      <c r="A150" s="8" t="n">
        <v>187</v>
      </c>
      <c r="B150" s="9" t="n">
        <v>46157</v>
      </c>
      <c r="C150" s="10" t="inlineStr">
        <is>
          <t>2026-05</t>
        </is>
      </c>
      <c r="D150" s="10" t="inlineStr">
        <is>
          <t>BCB Câmbio</t>
        </is>
      </c>
      <c r="E150" s="10" t="inlineStr">
        <is>
          <t>UK - Eduardo Giovannini</t>
        </is>
      </c>
      <c r="F150" s="10" t="inlineStr">
        <is>
          <t>67995 Wise UK</t>
        </is>
      </c>
      <c r="G150" s="10" t="inlineStr">
        <is>
          <t>FX / Remessa</t>
        </is>
      </c>
      <c r="H150" s="10" t="inlineStr">
        <is>
          <t>Financeiro</t>
        </is>
      </c>
      <c r="I150" s="13" t="n">
        <v>-1246.27</v>
      </c>
      <c r="J150" s="12" t="n">
        <v>250</v>
      </c>
      <c r="K150" s="10" t="inlineStr">
        <is>
          <t>USD</t>
        </is>
      </c>
      <c r="L150" s="10" t="inlineStr">
        <is>
          <t>Outbound</t>
        </is>
      </c>
      <c r="M150" s="10" t="inlineStr">
        <is>
          <t>Rate 4.9851</t>
        </is>
      </c>
    </row>
    <row r="151">
      <c r="A151" s="3" t="n">
        <v>117</v>
      </c>
      <c r="B151" s="4" t="n">
        <v>46158</v>
      </c>
      <c r="C151" s="5" t="inlineStr">
        <is>
          <t>2026-05</t>
        </is>
      </c>
      <c r="D151" s="5" t="inlineStr">
        <is>
          <t>MP Cartão</t>
        </is>
      </c>
      <c r="E151" s="5" t="inlineStr">
        <is>
          <t>Compra internacional em WWW.PERPLEXITY.AI</t>
        </is>
      </c>
      <c r="F151" s="5" t="inlineStr">
        <is>
          <t>IA/Tecnologia</t>
        </is>
      </c>
      <c r="G151" s="5" t="inlineStr">
        <is>
          <t>Tecnologia/IA</t>
        </is>
      </c>
      <c r="H151" s="5" t="inlineStr">
        <is>
          <t>Estilo de Vida</t>
        </is>
      </c>
      <c r="I151" s="14" t="n">
        <v>-78.72</v>
      </c>
      <c r="J151" s="5" t="n"/>
      <c r="K151" s="5" t="inlineStr">
        <is>
          <t>USD</t>
        </is>
      </c>
      <c r="L151" s="5" t="inlineStr">
        <is>
          <t>Despesa</t>
        </is>
      </c>
      <c r="M151" s="5" t="inlineStr">
        <is>
          <t>Fatura 2026-06</t>
        </is>
      </c>
    </row>
    <row r="152">
      <c r="A152" s="8" t="n">
        <v>118</v>
      </c>
      <c r="B152" s="9" t="n">
        <v>46158</v>
      </c>
      <c r="C152" s="10" t="inlineStr">
        <is>
          <t>2026-05</t>
        </is>
      </c>
      <c r="D152" s="10" t="inlineStr">
        <is>
          <t>MP Cartão</t>
        </is>
      </c>
      <c r="E152" s="10" t="inlineStr">
        <is>
          <t>IFD*34.531.468 EDWIN LEIB</t>
        </is>
      </c>
      <c r="F152" s="10" t="inlineStr">
        <is>
          <t>Delivery/iFood</t>
        </is>
      </c>
      <c r="G152" s="10" t="inlineStr">
        <is>
          <t>Alimentação</t>
        </is>
      </c>
      <c r="H152" s="10" t="inlineStr">
        <is>
          <t>Essencial</t>
        </is>
      </c>
      <c r="I152" s="13" t="n">
        <v>-73.03</v>
      </c>
      <c r="J152" s="10" t="n"/>
      <c r="K152" s="10" t="inlineStr">
        <is>
          <t>USD</t>
        </is>
      </c>
      <c r="L152" s="10" t="inlineStr">
        <is>
          <t>Despesa</t>
        </is>
      </c>
      <c r="M152" s="10" t="inlineStr">
        <is>
          <t>Fatura 2026-06</t>
        </is>
      </c>
    </row>
    <row r="153">
      <c r="A153" s="3" t="n">
        <v>119</v>
      </c>
      <c r="B153" s="4" t="n">
        <v>46159</v>
      </c>
      <c r="C153" s="5" t="inlineStr">
        <is>
          <t>2026-05</t>
        </is>
      </c>
      <c r="D153" s="5" t="inlineStr">
        <is>
          <t>MP Cartão</t>
        </is>
      </c>
      <c r="E153" s="5" t="inlineStr">
        <is>
          <t>Compra internacional em OPENAI *CHATGPT SUBSCR</t>
        </is>
      </c>
      <c r="F153" s="5" t="inlineStr">
        <is>
          <t>IA/Tecnologia</t>
        </is>
      </c>
      <c r="G153" s="5" t="inlineStr">
        <is>
          <t>Tecnologia/IA</t>
        </is>
      </c>
      <c r="H153" s="5" t="inlineStr">
        <is>
          <t>Estilo de Vida</t>
        </is>
      </c>
      <c r="I153" s="14" t="n">
        <v>-104.95</v>
      </c>
      <c r="J153" s="5" t="n"/>
      <c r="K153" s="5" t="inlineStr">
        <is>
          <t>USD</t>
        </is>
      </c>
      <c r="L153" s="5" t="inlineStr">
        <is>
          <t>Despesa</t>
        </is>
      </c>
      <c r="M153" s="5" t="inlineStr">
        <is>
          <t>Fatura 2026-06</t>
        </is>
      </c>
    </row>
    <row r="154">
      <c r="A154" s="8" t="n">
        <v>120</v>
      </c>
      <c r="B154" s="9" t="n">
        <v>46160</v>
      </c>
      <c r="C154" s="10" t="inlineStr">
        <is>
          <t>2026-05</t>
        </is>
      </c>
      <c r="D154" s="10" t="inlineStr">
        <is>
          <t>MP Cartão</t>
        </is>
      </c>
      <c r="E154" s="10" t="inlineStr">
        <is>
          <t>Compra internacional em CLOUDFLARE</t>
        </is>
      </c>
      <c r="F154" s="10" t="inlineStr">
        <is>
          <t>IA/Tecnologia</t>
        </is>
      </c>
      <c r="G154" s="10" t="inlineStr">
        <is>
          <t>Tecnologia/IA</t>
        </is>
      </c>
      <c r="H154" s="10" t="inlineStr">
        <is>
          <t>Estilo de Vida</t>
        </is>
      </c>
      <c r="I154" s="13" t="n">
        <v>-83.44</v>
      </c>
      <c r="J154" s="10" t="n"/>
      <c r="K154" s="10" t="inlineStr">
        <is>
          <t>USD</t>
        </is>
      </c>
      <c r="L154" s="10" t="inlineStr">
        <is>
          <t>Despesa</t>
        </is>
      </c>
      <c r="M154" s="10" t="inlineStr">
        <is>
          <t>Fatura 2026-06</t>
        </is>
      </c>
    </row>
    <row r="155">
      <c r="A155" s="3" t="n">
        <v>121</v>
      </c>
      <c r="B155" s="4" t="n">
        <v>46160</v>
      </c>
      <c r="C155" s="5" t="inlineStr">
        <is>
          <t>2026-05</t>
        </is>
      </c>
      <c r="D155" s="5" t="inlineStr">
        <is>
          <t>MP Cartão</t>
        </is>
      </c>
      <c r="E155" s="5" t="inlineStr">
        <is>
          <t>MP*LOTERIASONLINE281Q</t>
        </is>
      </c>
      <c r="F155" s="5" t="inlineStr">
        <is>
          <t>Loteria</t>
        </is>
      </c>
      <c r="G155" s="5" t="inlineStr">
        <is>
          <t>Lazer</t>
        </is>
      </c>
      <c r="H155" s="5" t="inlineStr">
        <is>
          <t>Estilo de Vida</t>
        </is>
      </c>
      <c r="I155" s="14" t="n">
        <v>-146</v>
      </c>
      <c r="J155" s="5" t="n"/>
      <c r="K155" s="5" t="inlineStr">
        <is>
          <t>USD</t>
        </is>
      </c>
      <c r="L155" s="5" t="inlineStr">
        <is>
          <t>Despesa</t>
        </is>
      </c>
      <c r="M155" s="5" t="inlineStr">
        <is>
          <t>Fatura 2026-06</t>
        </is>
      </c>
    </row>
    <row r="156">
      <c r="A156" s="8" t="n">
        <v>157</v>
      </c>
      <c r="B156" s="9" t="n">
        <v>46160</v>
      </c>
      <c r="C156" s="10" t="inlineStr">
        <is>
          <t>2026-05</t>
        </is>
      </c>
      <c r="D156" s="10" t="inlineStr">
        <is>
          <t>Banco Inter</t>
        </is>
      </c>
      <c r="E156" s="10" t="inlineStr">
        <is>
          <t>Eduardo F Giovannini</t>
        </is>
      </c>
      <c r="F156" s="10" t="inlineStr">
        <is>
          <t>PIX In</t>
        </is>
      </c>
      <c r="G156" s="10" t="inlineStr">
        <is>
          <t>Entrada PIX</t>
        </is>
      </c>
      <c r="H156" s="10" t="inlineStr">
        <is>
          <t>Movimentação</t>
        </is>
      </c>
      <c r="I156" s="11" t="n">
        <v>35000</v>
      </c>
      <c r="J156" s="10" t="n"/>
      <c r="K156" s="10" t="inlineStr">
        <is>
          <t>BRL</t>
        </is>
      </c>
      <c r="L156" s="10" t="inlineStr">
        <is>
          <t>Receita</t>
        </is>
      </c>
      <c r="M156" s="10" t="inlineStr"/>
    </row>
    <row r="157">
      <c r="A157" s="3" t="n">
        <v>158</v>
      </c>
      <c r="B157" s="4" t="n">
        <v>46160</v>
      </c>
      <c r="C157" s="5" t="inlineStr">
        <is>
          <t>2026-05</t>
        </is>
      </c>
      <c r="D157" s="5" t="inlineStr">
        <is>
          <t>Banco Inter</t>
        </is>
      </c>
      <c r="E157" s="5" t="inlineStr">
        <is>
          <t>Eduardo Giovannini</t>
        </is>
      </c>
      <c r="F157" s="5" t="inlineStr">
        <is>
          <t>PIX Out</t>
        </is>
      </c>
      <c r="G157" s="5" t="inlineStr">
        <is>
          <t>Saída PIX</t>
        </is>
      </c>
      <c r="H157" s="5" t="inlineStr">
        <is>
          <t>Movimentação</t>
        </is>
      </c>
      <c r="I157" s="14" t="n">
        <v>-20000</v>
      </c>
      <c r="J157" s="5" t="n"/>
      <c r="K157" s="5" t="inlineStr">
        <is>
          <t>BRL</t>
        </is>
      </c>
      <c r="L157" s="5" t="inlineStr">
        <is>
          <t>Despesa</t>
        </is>
      </c>
      <c r="M157" s="5" t="inlineStr"/>
    </row>
    <row r="158">
      <c r="A158" s="8" t="n">
        <v>188</v>
      </c>
      <c r="B158" s="9" t="n">
        <v>46160</v>
      </c>
      <c r="C158" s="10" t="inlineStr">
        <is>
          <t>2026-05</t>
        </is>
      </c>
      <c r="D158" s="10" t="inlineStr">
        <is>
          <t>BCB Câmbio</t>
        </is>
      </c>
      <c r="E158" s="10" t="inlineStr">
        <is>
          <t>USA - Own Account</t>
        </is>
      </c>
      <c r="F158" s="10" t="inlineStr">
        <is>
          <t>67995 Self-transfer</t>
        </is>
      </c>
      <c r="G158" s="10" t="inlineStr">
        <is>
          <t>FX / Remessa</t>
        </is>
      </c>
      <c r="H158" s="10" t="inlineStr">
        <is>
          <t>Financeiro</t>
        </is>
      </c>
      <c r="I158" s="13" t="n">
        <v>-1019.15</v>
      </c>
      <c r="J158" s="12" t="n">
        <v>200</v>
      </c>
      <c r="K158" s="10" t="inlineStr">
        <is>
          <t>USD</t>
        </is>
      </c>
      <c r="L158" s="10" t="inlineStr">
        <is>
          <t>Outbound</t>
        </is>
      </c>
      <c r="M158" s="10" t="inlineStr">
        <is>
          <t>Rate 5.0958</t>
        </is>
      </c>
    </row>
    <row r="159">
      <c r="A159" s="3" t="n">
        <v>189</v>
      </c>
      <c r="B159" s="4" t="n">
        <v>46160</v>
      </c>
      <c r="C159" s="5" t="inlineStr">
        <is>
          <t>2026-05</t>
        </is>
      </c>
      <c r="D159" s="5" t="inlineStr">
        <is>
          <t>BCB Câmbio</t>
        </is>
      </c>
      <c r="E159" s="5" t="inlineStr">
        <is>
          <t>Interactive Brokers</t>
        </is>
      </c>
      <c r="F159" s="5" t="inlineStr">
        <is>
          <t>91992 IB via Wise</t>
        </is>
      </c>
      <c r="G159" s="5" t="inlineStr">
        <is>
          <t>Investimentos</t>
        </is>
      </c>
      <c r="H159" s="5" t="inlineStr">
        <is>
          <t>Financeiro</t>
        </is>
      </c>
      <c r="I159" s="6" t="n">
        <v>19195.81</v>
      </c>
      <c r="J159" s="7" t="n">
        <v>3834.82</v>
      </c>
      <c r="K159" s="5" t="inlineStr">
        <is>
          <t>USD</t>
        </is>
      </c>
      <c r="L159" s="5" t="inlineStr">
        <is>
          <t>IB Deposit</t>
        </is>
      </c>
      <c r="M159" s="5" t="inlineStr">
        <is>
          <t>Rate 5.0056</t>
        </is>
      </c>
    </row>
    <row r="160">
      <c r="A160" s="8" t="n">
        <v>122</v>
      </c>
      <c r="B160" s="9" t="n">
        <v>46161</v>
      </c>
      <c r="C160" s="10" t="inlineStr">
        <is>
          <t>2026-05</t>
        </is>
      </c>
      <c r="D160" s="10" t="inlineStr">
        <is>
          <t>MP Cartão</t>
        </is>
      </c>
      <c r="E160" s="10" t="inlineStr">
        <is>
          <t>IFD*PIPA SUSHI E TEMAK</t>
        </is>
      </c>
      <c r="F160" s="10" t="inlineStr">
        <is>
          <t>Delivery/iFood</t>
        </is>
      </c>
      <c r="G160" s="10" t="inlineStr">
        <is>
          <t>Alimentação</t>
        </is>
      </c>
      <c r="H160" s="10" t="inlineStr">
        <is>
          <t>Essencial</t>
        </is>
      </c>
      <c r="I160" s="13" t="n">
        <v>-67.31</v>
      </c>
      <c r="J160" s="10" t="n"/>
      <c r="K160" s="10" t="inlineStr">
        <is>
          <t>USD</t>
        </is>
      </c>
      <c r="L160" s="10" t="inlineStr">
        <is>
          <t>Despesa</t>
        </is>
      </c>
      <c r="M160" s="10" t="inlineStr">
        <is>
          <t>Fatura 2026-06</t>
        </is>
      </c>
    </row>
    <row r="161">
      <c r="A161" s="3" t="n">
        <v>123</v>
      </c>
      <c r="B161" s="4" t="n">
        <v>46161</v>
      </c>
      <c r="C161" s="5" t="inlineStr">
        <is>
          <t>2026-05</t>
        </is>
      </c>
      <c r="D161" s="5" t="inlineStr">
        <is>
          <t>MP Cartão</t>
        </is>
      </c>
      <c r="E161" s="5" t="inlineStr">
        <is>
          <t>DL*GOOGLE YouTub</t>
        </is>
      </c>
      <c r="F161" s="5" t="inlineStr">
        <is>
          <t>Assinatura</t>
        </is>
      </c>
      <c r="G161" s="5" t="inlineStr">
        <is>
          <t>Assinaturas</t>
        </is>
      </c>
      <c r="H161" s="5" t="inlineStr">
        <is>
          <t>Estilo de Vida</t>
        </is>
      </c>
      <c r="I161" s="14" t="n">
        <v>-269</v>
      </c>
      <c r="J161" s="5" t="n"/>
      <c r="K161" s="5" t="inlineStr">
        <is>
          <t>USD</t>
        </is>
      </c>
      <c r="L161" s="5" t="inlineStr">
        <is>
          <t>Despesa</t>
        </is>
      </c>
      <c r="M161" s="5" t="inlineStr">
        <is>
          <t>Fatura 2026-06</t>
        </is>
      </c>
    </row>
    <row r="162">
      <c r="A162" s="8" t="n">
        <v>124</v>
      </c>
      <c r="B162" s="9" t="n">
        <v>46161</v>
      </c>
      <c r="C162" s="10" t="inlineStr">
        <is>
          <t>2026-05</t>
        </is>
      </c>
      <c r="D162" s="10" t="inlineStr">
        <is>
          <t>MP Cartão</t>
        </is>
      </c>
      <c r="E162" s="10" t="inlineStr">
        <is>
          <t>MP*LOTERIASONLINEAPI5</t>
        </is>
      </c>
      <c r="F162" s="10" t="inlineStr">
        <is>
          <t>Loteria</t>
        </is>
      </c>
      <c r="G162" s="10" t="inlineStr">
        <is>
          <t>Lazer</t>
        </is>
      </c>
      <c r="H162" s="10" t="inlineStr">
        <is>
          <t>Estilo de Vida</t>
        </is>
      </c>
      <c r="I162" s="13" t="n">
        <v>-120</v>
      </c>
      <c r="J162" s="10" t="n"/>
      <c r="K162" s="10" t="inlineStr">
        <is>
          <t>USD</t>
        </is>
      </c>
      <c r="L162" s="10" t="inlineStr">
        <is>
          <t>Despesa</t>
        </is>
      </c>
      <c r="M162" s="10" t="inlineStr">
        <is>
          <t>Fatura 2026-06</t>
        </is>
      </c>
    </row>
    <row r="163">
      <c r="A163" s="3" t="n">
        <v>190</v>
      </c>
      <c r="B163" s="4" t="n">
        <v>46161</v>
      </c>
      <c r="C163" s="5" t="inlineStr">
        <is>
          <t>2026-05</t>
        </is>
      </c>
      <c r="D163" s="5" t="inlineStr">
        <is>
          <t>BCB Câmbio</t>
        </is>
      </c>
      <c r="E163" s="5" t="inlineStr">
        <is>
          <t>Interactive Brokers</t>
        </is>
      </c>
      <c r="F163" s="5" t="inlineStr">
        <is>
          <t>91992 IB deposit</t>
        </is>
      </c>
      <c r="G163" s="5" t="inlineStr">
        <is>
          <t>Investimentos</t>
        </is>
      </c>
      <c r="H163" s="5" t="inlineStr">
        <is>
          <t>Financeiro</t>
        </is>
      </c>
      <c r="I163" s="6" t="n">
        <v>5114.85</v>
      </c>
      <c r="J163" s="7" t="n">
        <v>1000</v>
      </c>
      <c r="K163" s="5" t="inlineStr">
        <is>
          <t>USD</t>
        </is>
      </c>
      <c r="L163" s="5" t="inlineStr">
        <is>
          <t>IB Deposit</t>
        </is>
      </c>
      <c r="M163" s="5" t="inlineStr">
        <is>
          <t>Rate 5.1149</t>
        </is>
      </c>
    </row>
    <row r="164">
      <c r="A164" s="8" t="n">
        <v>125</v>
      </c>
      <c r="B164" s="9" t="n">
        <v>46162</v>
      </c>
      <c r="C164" s="10" t="inlineStr">
        <is>
          <t>2026-05</t>
        </is>
      </c>
      <c r="D164" s="10" t="inlineStr">
        <is>
          <t>MP Cartão</t>
        </is>
      </c>
      <c r="E164" s="10" t="inlineStr">
        <is>
          <t>Compra internacional em OPENAI* CHATGPT CREDIT</t>
        </is>
      </c>
      <c r="F164" s="10" t="inlineStr">
        <is>
          <t>IA/Tecnologia</t>
        </is>
      </c>
      <c r="G164" s="10" t="inlineStr">
        <is>
          <t>Tecnologia/IA</t>
        </is>
      </c>
      <c r="H164" s="10" t="inlineStr">
        <is>
          <t>Estilo de Vida</t>
        </is>
      </c>
      <c r="I164" s="13" t="n">
        <v>-208.66</v>
      </c>
      <c r="J164" s="10" t="n"/>
      <c r="K164" s="10" t="inlineStr">
        <is>
          <t>USD</t>
        </is>
      </c>
      <c r="L164" s="10" t="inlineStr">
        <is>
          <t>Despesa</t>
        </is>
      </c>
      <c r="M164" s="10" t="inlineStr">
        <is>
          <t>Fatura 2026-06</t>
        </is>
      </c>
    </row>
    <row r="165">
      <c r="A165" s="3" t="n">
        <v>191</v>
      </c>
      <c r="B165" s="4" t="n">
        <v>46162</v>
      </c>
      <c r="C165" s="5" t="inlineStr">
        <is>
          <t>2026-05</t>
        </is>
      </c>
      <c r="D165" s="5" t="inlineStr">
        <is>
          <t>BCB Câmbio</t>
        </is>
      </c>
      <c r="E165" s="5" t="inlineStr">
        <is>
          <t>Interactive Brokers</t>
        </is>
      </c>
      <c r="F165" s="5" t="inlineStr">
        <is>
          <t>91992 IB deposit</t>
        </is>
      </c>
      <c r="G165" s="5" t="inlineStr">
        <is>
          <t>Investimentos</t>
        </is>
      </c>
      <c r="H165" s="5" t="inlineStr">
        <is>
          <t>Financeiro</t>
        </is>
      </c>
      <c r="I165" s="6" t="n">
        <v>31651.83</v>
      </c>
      <c r="J165" s="7" t="n">
        <v>6212.32</v>
      </c>
      <c r="K165" s="5" t="inlineStr">
        <is>
          <t>USD</t>
        </is>
      </c>
      <c r="L165" s="5" t="inlineStr">
        <is>
          <t>IB Deposit</t>
        </is>
      </c>
      <c r="M165" s="5" t="inlineStr">
        <is>
          <t>Rate 5.0949</t>
        </is>
      </c>
    </row>
    <row r="166">
      <c r="A166" s="8" t="n">
        <v>126</v>
      </c>
      <c r="B166" s="9" t="n">
        <v>46164</v>
      </c>
      <c r="C166" s="10" t="inlineStr">
        <is>
          <t>2026-05</t>
        </is>
      </c>
      <c r="D166" s="10" t="inlineStr">
        <is>
          <t>MP Cartão</t>
        </is>
      </c>
      <c r="E166" s="10" t="inlineStr">
        <is>
          <t>MP*LOTERIASONLINEPXMF</t>
        </is>
      </c>
      <c r="F166" s="10" t="inlineStr">
        <is>
          <t>Loteria</t>
        </is>
      </c>
      <c r="G166" s="10" t="inlineStr">
        <is>
          <t>Lazer</t>
        </is>
      </c>
      <c r="H166" s="10" t="inlineStr">
        <is>
          <t>Estilo de Vida</t>
        </is>
      </c>
      <c r="I166" s="13" t="n">
        <v>-210</v>
      </c>
      <c r="J166" s="10" t="n"/>
      <c r="K166" s="10" t="inlineStr">
        <is>
          <t>USD</t>
        </is>
      </c>
      <c r="L166" s="10" t="inlineStr">
        <is>
          <t>Despesa</t>
        </is>
      </c>
      <c r="M166" s="10" t="inlineStr">
        <is>
          <t>Fatura 2026-06</t>
        </is>
      </c>
    </row>
    <row r="167">
      <c r="A167" s="3" t="n">
        <v>154</v>
      </c>
      <c r="B167" s="4" t="n">
        <v>46164</v>
      </c>
      <c r="C167" s="5" t="inlineStr">
        <is>
          <t>2026-05</t>
        </is>
      </c>
      <c r="D167" s="5" t="inlineStr">
        <is>
          <t>Banco Inter</t>
        </is>
      </c>
      <c r="E167" s="5" t="inlineStr">
        <is>
          <t>Lucas Rique Chaves Bezerra</t>
        </is>
      </c>
      <c r="F167" s="5" t="inlineStr">
        <is>
          <t>PIX Out</t>
        </is>
      </c>
      <c r="G167" s="5" t="inlineStr">
        <is>
          <t>Saída PIX</t>
        </is>
      </c>
      <c r="H167" s="5" t="inlineStr">
        <is>
          <t>Movimentação</t>
        </is>
      </c>
      <c r="I167" s="14" t="n">
        <v>-1500</v>
      </c>
      <c r="J167" s="5" t="n"/>
      <c r="K167" s="5" t="inlineStr">
        <is>
          <t>BRL</t>
        </is>
      </c>
      <c r="L167" s="5" t="inlineStr">
        <is>
          <t>Despesa</t>
        </is>
      </c>
      <c r="M167" s="5" t="inlineStr"/>
    </row>
    <row r="168">
      <c r="A168" s="8" t="n">
        <v>155</v>
      </c>
      <c r="B168" s="9" t="n">
        <v>46164</v>
      </c>
      <c r="C168" s="10" t="inlineStr">
        <is>
          <t>2026-05</t>
        </is>
      </c>
      <c r="D168" s="10" t="inlineStr">
        <is>
          <t>Banco Inter</t>
        </is>
      </c>
      <c r="E168" s="10" t="inlineStr">
        <is>
          <t>Lucas Rique Chaves Bezerra</t>
        </is>
      </c>
      <c r="F168" s="10" t="inlineStr">
        <is>
          <t>PIX Out</t>
        </is>
      </c>
      <c r="G168" s="10" t="inlineStr">
        <is>
          <t>Saída PIX</t>
        </is>
      </c>
      <c r="H168" s="10" t="inlineStr">
        <is>
          <t>Movimentação</t>
        </is>
      </c>
      <c r="I168" s="13" t="n">
        <v>-500</v>
      </c>
      <c r="J168" s="10" t="n"/>
      <c r="K168" s="10" t="inlineStr">
        <is>
          <t>BRL</t>
        </is>
      </c>
      <c r="L168" s="10" t="inlineStr">
        <is>
          <t>Despesa</t>
        </is>
      </c>
      <c r="M168" s="10" t="inlineStr"/>
    </row>
    <row r="169">
      <c r="A169" s="3" t="n">
        <v>156</v>
      </c>
      <c r="B169" s="4" t="n">
        <v>46164</v>
      </c>
      <c r="C169" s="5" t="inlineStr">
        <is>
          <t>2026-05</t>
        </is>
      </c>
      <c r="D169" s="5" t="inlineStr">
        <is>
          <t>Banco Inter</t>
        </is>
      </c>
      <c r="E169" s="5" t="inlineStr">
        <is>
          <t>Sbct Tech Solutions Llc</t>
        </is>
      </c>
      <c r="F169" s="5" t="inlineStr">
        <is>
          <t>PIX Out</t>
        </is>
      </c>
      <c r="G169" s="5" t="inlineStr">
        <is>
          <t>Saída PIX</t>
        </is>
      </c>
      <c r="H169" s="5" t="inlineStr">
        <is>
          <t>Movimentação</t>
        </is>
      </c>
      <c r="I169" s="14" t="n">
        <v>-45000</v>
      </c>
      <c r="J169" s="5" t="n"/>
      <c r="K169" s="5" t="inlineStr">
        <is>
          <t>BRL</t>
        </is>
      </c>
      <c r="L169" s="5" t="inlineStr">
        <is>
          <t>Despesa</t>
        </is>
      </c>
      <c r="M169" s="5" t="inlineStr"/>
    </row>
    <row r="170">
      <c r="A170" s="8" t="n">
        <v>192</v>
      </c>
      <c r="B170" s="9" t="n">
        <v>46164</v>
      </c>
      <c r="C170" s="10" t="inlineStr">
        <is>
          <t>2026-05</t>
        </is>
      </c>
      <c r="D170" s="10" t="inlineStr">
        <is>
          <t>BCB Câmbio</t>
        </is>
      </c>
      <c r="E170" s="10" t="inlineStr">
        <is>
          <t>Fundos investimento BRL</t>
        </is>
      </c>
      <c r="F170" s="10" t="inlineStr">
        <is>
          <t>67043 Fund capital</t>
        </is>
      </c>
      <c r="G170" s="10" t="inlineStr">
        <is>
          <t>Investimentos</t>
        </is>
      </c>
      <c r="H170" s="10" t="inlineStr">
        <is>
          <t>Financeiro</t>
        </is>
      </c>
      <c r="I170" s="11" t="n">
        <v>45000</v>
      </c>
      <c r="J170" s="12" t="n">
        <v>0</v>
      </c>
      <c r="K170" s="10" t="inlineStr">
        <is>
          <t>BRL</t>
        </is>
      </c>
      <c r="L170" s="10" t="inlineStr">
        <is>
          <t>Fund Deposit</t>
        </is>
      </c>
      <c r="M170" s="10" t="inlineStr"/>
    </row>
    <row r="171">
      <c r="A171" s="3" t="n">
        <v>127</v>
      </c>
      <c r="B171" s="4" t="n">
        <v>46165</v>
      </c>
      <c r="C171" s="5" t="inlineStr">
        <is>
          <t>2026-05</t>
        </is>
      </c>
      <c r="D171" s="5" t="inlineStr">
        <is>
          <t>MP Cartão</t>
        </is>
      </c>
      <c r="E171" s="5" t="inlineStr">
        <is>
          <t>Compra internacional em OPENAI* CHATGPT CREDIT</t>
        </is>
      </c>
      <c r="F171" s="5" t="inlineStr">
        <is>
          <t>IA/Tecnologia</t>
        </is>
      </c>
      <c r="G171" s="5" t="inlineStr">
        <is>
          <t>Tecnologia/IA</t>
        </is>
      </c>
      <c r="H171" s="5" t="inlineStr">
        <is>
          <t>Estilo de Vida</t>
        </is>
      </c>
      <c r="I171" s="14" t="n">
        <v>-207.42</v>
      </c>
      <c r="J171" s="5" t="n"/>
      <c r="K171" s="5" t="inlineStr">
        <is>
          <t>USD</t>
        </is>
      </c>
      <c r="L171" s="5" t="inlineStr">
        <is>
          <t>Despesa</t>
        </is>
      </c>
      <c r="M171" s="5" t="inlineStr">
        <is>
          <t>Fatura 2026-06</t>
        </is>
      </c>
    </row>
    <row r="172">
      <c r="A172" s="8" t="n">
        <v>128</v>
      </c>
      <c r="B172" s="9" t="n">
        <v>46166</v>
      </c>
      <c r="C172" s="10" t="inlineStr">
        <is>
          <t>2026-05</t>
        </is>
      </c>
      <c r="D172" s="10" t="inlineStr">
        <is>
          <t>MP Cartão</t>
        </is>
      </c>
      <c r="E172" s="10" t="inlineStr">
        <is>
          <t>APPLE.COM/BILL</t>
        </is>
      </c>
      <c r="F172" s="10" t="inlineStr">
        <is>
          <t>Assinatura</t>
        </is>
      </c>
      <c r="G172" s="10" t="inlineStr">
        <is>
          <t>Assinaturas</t>
        </is>
      </c>
      <c r="H172" s="10" t="inlineStr">
        <is>
          <t>Estilo de Vida</t>
        </is>
      </c>
      <c r="I172" s="13" t="n">
        <v>-31.9</v>
      </c>
      <c r="J172" s="10" t="n"/>
      <c r="K172" s="10" t="inlineStr">
        <is>
          <t>BRL</t>
        </is>
      </c>
      <c r="L172" s="10" t="inlineStr">
        <is>
          <t>Despesa</t>
        </is>
      </c>
      <c r="M172" s="10" t="inlineStr">
        <is>
          <t>Fatura 2026-06</t>
        </is>
      </c>
    </row>
    <row r="173">
      <c r="A173" s="3" t="n">
        <v>153</v>
      </c>
      <c r="B173" s="4" t="n">
        <v>46166</v>
      </c>
      <c r="C173" s="5" t="inlineStr">
        <is>
          <t>2026-05</t>
        </is>
      </c>
      <c r="D173" s="5" t="inlineStr">
        <is>
          <t>Banco Inter</t>
        </is>
      </c>
      <c r="E173" s="5" t="inlineStr">
        <is>
          <t>Moacir Jose De Morais Filho</t>
        </is>
      </c>
      <c r="F173" s="5" t="inlineStr">
        <is>
          <t>PIX Out</t>
        </is>
      </c>
      <c r="G173" s="5" t="inlineStr">
        <is>
          <t>Saída PIX</t>
        </is>
      </c>
      <c r="H173" s="5" t="inlineStr">
        <is>
          <t>Movimentação</t>
        </is>
      </c>
      <c r="I173" s="14" t="n">
        <v>-700</v>
      </c>
      <c r="J173" s="5" t="n"/>
      <c r="K173" s="5" t="inlineStr">
        <is>
          <t>BRL</t>
        </is>
      </c>
      <c r="L173" s="5" t="inlineStr">
        <is>
          <t>Despesa</t>
        </is>
      </c>
      <c r="M173" s="5" t="inlineStr"/>
    </row>
    <row r="174">
      <c r="A174" s="8" t="n">
        <v>152</v>
      </c>
      <c r="B174" s="9" t="n">
        <v>46167</v>
      </c>
      <c r="C174" s="10" t="inlineStr">
        <is>
          <t>2026-05</t>
        </is>
      </c>
      <c r="D174" s="10" t="inlineStr">
        <is>
          <t>Banco Inter</t>
        </is>
      </c>
      <c r="E174" s="10" t="inlineStr">
        <is>
          <t>Eduardo Silva Dos Santos</t>
        </is>
      </c>
      <c r="F174" s="10" t="inlineStr">
        <is>
          <t>PIX Out</t>
        </is>
      </c>
      <c r="G174" s="10" t="inlineStr">
        <is>
          <t>Saída PIX</t>
        </is>
      </c>
      <c r="H174" s="10" t="inlineStr">
        <is>
          <t>Movimentação</t>
        </is>
      </c>
      <c r="I174" s="13" t="n">
        <v>-470</v>
      </c>
      <c r="J174" s="10" t="n"/>
      <c r="K174" s="10" t="inlineStr">
        <is>
          <t>BRL</t>
        </is>
      </c>
      <c r="L174" s="10" t="inlineStr">
        <is>
          <t>Despesa</t>
        </is>
      </c>
      <c r="M174" s="10" t="inlineStr"/>
    </row>
    <row r="175">
      <c r="A175" s="3" t="n">
        <v>193</v>
      </c>
      <c r="B175" s="4" t="n">
        <v>46168</v>
      </c>
      <c r="C175" s="5" t="inlineStr">
        <is>
          <t>2026-05</t>
        </is>
      </c>
      <c r="D175" s="5" t="inlineStr">
        <is>
          <t>BCB Câmbio</t>
        </is>
      </c>
      <c r="E175" s="5" t="inlineStr">
        <is>
          <t>USA - Own Account</t>
        </is>
      </c>
      <c r="F175" s="5" t="inlineStr">
        <is>
          <t>67995 Self-transfer</t>
        </is>
      </c>
      <c r="G175" s="5" t="inlineStr">
        <is>
          <t>FX / Remessa</t>
        </is>
      </c>
      <c r="H175" s="5" t="inlineStr">
        <is>
          <t>Financeiro</t>
        </is>
      </c>
      <c r="I175" s="14" t="n">
        <v>-51027.68</v>
      </c>
      <c r="J175" s="7" t="n">
        <v>10000</v>
      </c>
      <c r="K175" s="5" t="inlineStr">
        <is>
          <t>USD</t>
        </is>
      </c>
      <c r="L175" s="5" t="inlineStr">
        <is>
          <t>Outbound</t>
        </is>
      </c>
      <c r="M175" s="5" t="inlineStr">
        <is>
          <t>Rate 5.1028</t>
        </is>
      </c>
    </row>
    <row r="176">
      <c r="A176" s="8" t="n">
        <v>129</v>
      </c>
      <c r="B176" s="9" t="n">
        <v>46170</v>
      </c>
      <c r="C176" s="10" t="inlineStr">
        <is>
          <t>2026-05</t>
        </is>
      </c>
      <c r="D176" s="10" t="inlineStr">
        <is>
          <t>MP Cartão</t>
        </is>
      </c>
      <c r="E176" s="10" t="inlineStr">
        <is>
          <t>Compra internacional em ANTHROPIC</t>
        </is>
      </c>
      <c r="F176" s="10" t="inlineStr">
        <is>
          <t>IA/Tecnologia</t>
        </is>
      </c>
      <c r="G176" s="10" t="inlineStr">
        <is>
          <t>Tecnologia/IA</t>
        </is>
      </c>
      <c r="H176" s="10" t="inlineStr">
        <is>
          <t>Estilo de Vida</t>
        </is>
      </c>
      <c r="I176" s="13" t="n">
        <v>-103.5</v>
      </c>
      <c r="J176" s="10" t="n"/>
      <c r="K176" s="10" t="inlineStr">
        <is>
          <t>USD</t>
        </is>
      </c>
      <c r="L176" s="10" t="inlineStr">
        <is>
          <t>Despesa</t>
        </is>
      </c>
      <c r="M176" s="10" t="inlineStr">
        <is>
          <t>Fatura 2026-06</t>
        </is>
      </c>
    </row>
    <row r="177">
      <c r="A177" s="3" t="n">
        <v>151</v>
      </c>
      <c r="B177" s="4" t="n">
        <v>46170</v>
      </c>
      <c r="C177" s="5" t="inlineStr">
        <is>
          <t>2026-05</t>
        </is>
      </c>
      <c r="D177" s="5" t="inlineStr">
        <is>
          <t>Banco Inter</t>
        </is>
      </c>
      <c r="E177" s="5" t="inlineStr">
        <is>
          <t>Eduardo Silva Dos Santos</t>
        </is>
      </c>
      <c r="F177" s="5" t="inlineStr">
        <is>
          <t>PIX Out</t>
        </is>
      </c>
      <c r="G177" s="5" t="inlineStr">
        <is>
          <t>Saída PIX</t>
        </is>
      </c>
      <c r="H177" s="5" t="inlineStr">
        <is>
          <t>Movimentação</t>
        </is>
      </c>
      <c r="I177" s="14" t="n">
        <v>-450</v>
      </c>
      <c r="J177" s="5" t="n"/>
      <c r="K177" s="5" t="inlineStr">
        <is>
          <t>BRL</t>
        </is>
      </c>
      <c r="L177" s="5" t="inlineStr">
        <is>
          <t>Despesa</t>
        </is>
      </c>
      <c r="M177" s="5" t="inlineStr"/>
    </row>
    <row r="178">
      <c r="A178" s="8" t="n">
        <v>194</v>
      </c>
      <c r="B178" s="9" t="n">
        <v>46170</v>
      </c>
      <c r="C178" s="10" t="inlineStr">
        <is>
          <t>2026-05</t>
        </is>
      </c>
      <c r="D178" s="10" t="inlineStr">
        <is>
          <t>BCB Câmbio</t>
        </is>
      </c>
      <c r="E178" s="10" t="inlineStr">
        <is>
          <t>USA - Own Account</t>
        </is>
      </c>
      <c r="F178" s="10" t="inlineStr">
        <is>
          <t>67995 Self-transfer</t>
        </is>
      </c>
      <c r="G178" s="10" t="inlineStr">
        <is>
          <t>FX / Remessa</t>
        </is>
      </c>
      <c r="H178" s="10" t="inlineStr">
        <is>
          <t>Financeiro</t>
        </is>
      </c>
      <c r="I178" s="13" t="n">
        <v>-25650.76</v>
      </c>
      <c r="J178" s="12" t="n">
        <v>5000</v>
      </c>
      <c r="K178" s="10" t="inlineStr">
        <is>
          <t>USD</t>
        </is>
      </c>
      <c r="L178" s="10" t="inlineStr">
        <is>
          <t>Outbound</t>
        </is>
      </c>
      <c r="M178" s="10" t="inlineStr">
        <is>
          <t>Rate 5.1302</t>
        </is>
      </c>
    </row>
    <row r="179">
      <c r="A179" s="3" t="n">
        <v>195</v>
      </c>
      <c r="B179" s="4" t="n">
        <v>46170</v>
      </c>
      <c r="C179" s="5" t="inlineStr">
        <is>
          <t>2026-05</t>
        </is>
      </c>
      <c r="D179" s="5" t="inlineStr">
        <is>
          <t>BCB Câmbio</t>
        </is>
      </c>
      <c r="E179" s="5" t="inlineStr">
        <is>
          <t>Interactive Brokers</t>
        </is>
      </c>
      <c r="F179" s="5" t="inlineStr">
        <is>
          <t>91992 IB deposit</t>
        </is>
      </c>
      <c r="G179" s="5" t="inlineStr">
        <is>
          <t>Investimentos</t>
        </is>
      </c>
      <c r="H179" s="5" t="inlineStr">
        <is>
          <t>Financeiro</t>
        </is>
      </c>
      <c r="I179" s="6" t="n">
        <v>101772.38</v>
      </c>
      <c r="J179" s="7" t="n">
        <v>20000</v>
      </c>
      <c r="K179" s="5" t="inlineStr">
        <is>
          <t>USD</t>
        </is>
      </c>
      <c r="L179" s="5" t="inlineStr">
        <is>
          <t>IB Deposit</t>
        </is>
      </c>
      <c r="M179" s="5" t="inlineStr">
        <is>
          <t>Rate 5.0886</t>
        </is>
      </c>
    </row>
    <row r="180">
      <c r="A180" s="8" t="n">
        <v>130</v>
      </c>
      <c r="B180" s="9" t="n">
        <v>46171</v>
      </c>
      <c r="C180" s="10" t="inlineStr">
        <is>
          <t>2026-05</t>
        </is>
      </c>
      <c r="D180" s="10" t="inlineStr">
        <is>
          <t>MP Cartão</t>
        </is>
      </c>
      <c r="E180" s="10" t="inlineStr">
        <is>
          <t>UBER * PENDING</t>
        </is>
      </c>
      <c r="F180" s="10" t="inlineStr">
        <is>
          <t>Transporte</t>
        </is>
      </c>
      <c r="G180" s="10" t="inlineStr">
        <is>
          <t>Transporte</t>
        </is>
      </c>
      <c r="H180" s="10" t="inlineStr">
        <is>
          <t>Essencial</t>
        </is>
      </c>
      <c r="I180" s="13" t="n">
        <v>-13.97</v>
      </c>
      <c r="J180" s="10" t="n"/>
      <c r="K180" s="10" t="inlineStr">
        <is>
          <t>USD</t>
        </is>
      </c>
      <c r="L180" s="10" t="inlineStr">
        <is>
          <t>Despesa</t>
        </is>
      </c>
      <c r="M180" s="10" t="inlineStr">
        <is>
          <t>Fatura 2026-06</t>
        </is>
      </c>
    </row>
    <row r="181">
      <c r="A181" s="3" t="n">
        <v>131</v>
      </c>
      <c r="B181" s="4" t="n">
        <v>46172</v>
      </c>
      <c r="C181" s="5" t="inlineStr">
        <is>
          <t>2026-05</t>
        </is>
      </c>
      <c r="D181" s="5" t="inlineStr">
        <is>
          <t>MP Cartão</t>
        </is>
      </c>
      <c r="E181" s="5" t="inlineStr">
        <is>
          <t>APPLE.COM/BILL</t>
        </is>
      </c>
      <c r="F181" s="5" t="inlineStr">
        <is>
          <t>Assinatura</t>
        </is>
      </c>
      <c r="G181" s="5" t="inlineStr">
        <is>
          <t>Assinaturas</t>
        </is>
      </c>
      <c r="H181" s="5" t="inlineStr">
        <is>
          <t>Estilo de Vida</t>
        </is>
      </c>
      <c r="I181" s="14" t="n">
        <v>-99.90000000000001</v>
      </c>
      <c r="J181" s="5" t="n"/>
      <c r="K181" s="5" t="inlineStr">
        <is>
          <t>USD</t>
        </is>
      </c>
      <c r="L181" s="5" t="inlineStr">
        <is>
          <t>Despesa</t>
        </is>
      </c>
      <c r="M181" s="5" t="inlineStr">
        <is>
          <t>Fatura 2026-06</t>
        </is>
      </c>
    </row>
    <row r="182">
      <c r="A182" s="8" t="n">
        <v>132</v>
      </c>
      <c r="B182" s="9" t="n">
        <v>46172</v>
      </c>
      <c r="C182" s="10" t="inlineStr">
        <is>
          <t>2026-05</t>
        </is>
      </c>
      <c r="D182" s="10" t="inlineStr">
        <is>
          <t>MP Cartão</t>
        </is>
      </c>
      <c r="E182" s="10" t="inlineStr">
        <is>
          <t>Compra internacional em CLAUDE.AI SUBSCRIPTION</t>
        </is>
      </c>
      <c r="F182" s="10" t="inlineStr">
        <is>
          <t>IA/Tecnologia</t>
        </is>
      </c>
      <c r="G182" s="10" t="inlineStr">
        <is>
          <t>Tecnologia/IA</t>
        </is>
      </c>
      <c r="H182" s="10" t="inlineStr">
        <is>
          <t>Estilo de Vida</t>
        </is>
      </c>
      <c r="I182" s="13" t="n">
        <v>-113.85</v>
      </c>
      <c r="J182" s="10" t="n"/>
      <c r="K182" s="10" t="inlineStr">
        <is>
          <t>USD</t>
        </is>
      </c>
      <c r="L182" s="10" t="inlineStr">
        <is>
          <t>Despesa</t>
        </is>
      </c>
      <c r="M182" s="10" t="inlineStr">
        <is>
          <t>Fatura 2026-06</t>
        </is>
      </c>
    </row>
    <row r="183">
      <c r="A183" s="3" t="n">
        <v>133</v>
      </c>
      <c r="B183" s="4" t="n">
        <v>46172</v>
      </c>
      <c r="C183" s="5" t="inlineStr">
        <is>
          <t>2026-05</t>
        </is>
      </c>
      <c r="D183" s="5" t="inlineStr">
        <is>
          <t>MP Cartão</t>
        </is>
      </c>
      <c r="E183" s="5" t="inlineStr">
        <is>
          <t>IFD*PIPA SUSHI E TEMAK</t>
        </is>
      </c>
      <c r="F183" s="5" t="inlineStr">
        <is>
          <t>Delivery/iFood</t>
        </is>
      </c>
      <c r="G183" s="5" t="inlineStr">
        <is>
          <t>Alimentação</t>
        </is>
      </c>
      <c r="H183" s="5" t="inlineStr">
        <is>
          <t>Essencial</t>
        </is>
      </c>
      <c r="I183" s="14" t="n">
        <v>-90.29000000000001</v>
      </c>
      <c r="J183" s="5" t="n"/>
      <c r="K183" s="5" t="inlineStr">
        <is>
          <t>USD</t>
        </is>
      </c>
      <c r="L183" s="5" t="inlineStr">
        <is>
          <t>Despesa</t>
        </is>
      </c>
      <c r="M183" s="5" t="inlineStr">
        <is>
          <t>Fatura 2026-06</t>
        </is>
      </c>
    </row>
    <row r="184">
      <c r="A184" s="8" t="n">
        <v>134</v>
      </c>
      <c r="B184" s="9" t="n">
        <v>46174</v>
      </c>
      <c r="C184" s="10" t="inlineStr">
        <is>
          <t>2026-06</t>
        </is>
      </c>
      <c r="D184" s="10" t="inlineStr">
        <is>
          <t>MP Cartão</t>
        </is>
      </c>
      <c r="E184" s="10" t="inlineStr">
        <is>
          <t>Compra internacional em WWW.PERPLEXITY.AI</t>
        </is>
      </c>
      <c r="F184" s="10" t="inlineStr">
        <is>
          <t>IA/Tecnologia</t>
        </is>
      </c>
      <c r="G184" s="10" t="inlineStr">
        <is>
          <t>Tecnologia/IA</t>
        </is>
      </c>
      <c r="H184" s="10" t="inlineStr">
        <is>
          <t>Estilo de Vida</t>
        </is>
      </c>
      <c r="I184" s="13" t="n">
        <v>-78.56</v>
      </c>
      <c r="J184" s="10" t="n"/>
      <c r="K184" s="10" t="inlineStr">
        <is>
          <t>USD</t>
        </is>
      </c>
      <c r="L184" s="10" t="inlineStr">
        <is>
          <t>Despesa</t>
        </is>
      </c>
      <c r="M184" s="10" t="inlineStr">
        <is>
          <t>Fatura 2026-06</t>
        </is>
      </c>
    </row>
    <row r="185">
      <c r="A185" s="3" t="n">
        <v>135</v>
      </c>
      <c r="B185" s="4" t="n">
        <v>46174</v>
      </c>
      <c r="C185" s="5" t="inlineStr">
        <is>
          <t>2026-06</t>
        </is>
      </c>
      <c r="D185" s="5" t="inlineStr">
        <is>
          <t>MP Cartão</t>
        </is>
      </c>
      <c r="E185" s="5" t="inlineStr">
        <is>
          <t>Compra internacional em CURSOR, AI POWERED IDE</t>
        </is>
      </c>
      <c r="F185" s="5" t="inlineStr">
        <is>
          <t>IA/Tecnologia</t>
        </is>
      </c>
      <c r="G185" s="5" t="inlineStr">
        <is>
          <t>Tecnologia/IA</t>
        </is>
      </c>
      <c r="H185" s="5" t="inlineStr">
        <is>
          <t>Estilo de Vida</t>
        </is>
      </c>
      <c r="I185" s="14" t="n">
        <v>-111.81</v>
      </c>
      <c r="J185" s="5" t="n"/>
      <c r="K185" s="5" t="inlineStr">
        <is>
          <t>USD</t>
        </is>
      </c>
      <c r="L185" s="5" t="inlineStr">
        <is>
          <t>Despesa</t>
        </is>
      </c>
      <c r="M185" s="5" t="inlineStr">
        <is>
          <t>Fatura 2026-06</t>
        </is>
      </c>
    </row>
    <row r="186">
      <c r="A186" s="8" t="n">
        <v>136</v>
      </c>
      <c r="B186" s="9" t="n">
        <v>46175</v>
      </c>
      <c r="C186" s="10" t="inlineStr">
        <is>
          <t>2026-06</t>
        </is>
      </c>
      <c r="D186" s="10" t="inlineStr">
        <is>
          <t>MP Cartão</t>
        </is>
      </c>
      <c r="E186" s="10" t="inlineStr">
        <is>
          <t>UBER * PENDING</t>
        </is>
      </c>
      <c r="F186" s="10" t="inlineStr">
        <is>
          <t>Transporte</t>
        </is>
      </c>
      <c r="G186" s="10" t="inlineStr">
        <is>
          <t>Transporte</t>
        </is>
      </c>
      <c r="H186" s="10" t="inlineStr">
        <is>
          <t>Essencial</t>
        </is>
      </c>
      <c r="I186" s="13" t="n">
        <v>-24.95</v>
      </c>
      <c r="J186" s="10" t="n"/>
      <c r="K186" s="10" t="inlineStr">
        <is>
          <t>BRL</t>
        </is>
      </c>
      <c r="L186" s="10" t="inlineStr">
        <is>
          <t>Despesa</t>
        </is>
      </c>
      <c r="M186" s="10" t="inlineStr">
        <is>
          <t>Fatura 2026-06</t>
        </is>
      </c>
    </row>
    <row r="187">
      <c r="A187" s="3" t="n">
        <v>137</v>
      </c>
      <c r="B187" s="4" t="n">
        <v>46175</v>
      </c>
      <c r="C187" s="5" t="inlineStr">
        <is>
          <t>2026-06</t>
        </is>
      </c>
      <c r="D187" s="5" t="inlineStr">
        <is>
          <t>MP Cartão</t>
        </is>
      </c>
      <c r="E187" s="5" t="inlineStr">
        <is>
          <t>MP*LOTERIASONLINEJEPS</t>
        </is>
      </c>
      <c r="F187" s="5" t="inlineStr">
        <is>
          <t>Loteria</t>
        </is>
      </c>
      <c r="G187" s="5" t="inlineStr">
        <is>
          <t>Lazer</t>
        </is>
      </c>
      <c r="H187" s="5" t="inlineStr">
        <is>
          <t>Estilo de Vida</t>
        </is>
      </c>
      <c r="I187" s="14" t="n">
        <v>-161.5</v>
      </c>
      <c r="J187" s="5" t="n"/>
      <c r="K187" s="5" t="inlineStr">
        <is>
          <t>BRL</t>
        </is>
      </c>
      <c r="L187" s="5" t="inlineStr">
        <is>
          <t>Despesa</t>
        </is>
      </c>
      <c r="M187" s="5" t="inlineStr">
        <is>
          <t>Fatura 2026-06</t>
        </is>
      </c>
    </row>
    <row r="188">
      <c r="A188" s="8" t="n">
        <v>138</v>
      </c>
      <c r="B188" s="9" t="n">
        <v>46176</v>
      </c>
      <c r="C188" s="10" t="inlineStr">
        <is>
          <t>2026-06</t>
        </is>
      </c>
      <c r="D188" s="10" t="inlineStr">
        <is>
          <t>MP Cartão</t>
        </is>
      </c>
      <c r="E188" s="10" t="inlineStr">
        <is>
          <t>STARLINK INTERNET</t>
        </is>
      </c>
      <c r="F188" s="10" t="inlineStr">
        <is>
          <t>Internet</t>
        </is>
      </c>
      <c r="G188" s="10" t="inlineStr">
        <is>
          <t>Telecomunicações</t>
        </is>
      </c>
      <c r="H188" s="10" t="inlineStr">
        <is>
          <t>Essencial</t>
        </is>
      </c>
      <c r="I188" s="13" t="n">
        <v>-235.52</v>
      </c>
      <c r="J188" s="10" t="n"/>
      <c r="K188" s="10" t="inlineStr">
        <is>
          <t>BRL</t>
        </is>
      </c>
      <c r="L188" s="10" t="inlineStr">
        <is>
          <t>Despesa</t>
        </is>
      </c>
      <c r="M188" s="10" t="inlineStr">
        <is>
          <t>Fatura 2026-06</t>
        </is>
      </c>
    </row>
    <row r="189">
      <c r="A189" s="3" t="n">
        <v>139</v>
      </c>
      <c r="B189" s="4" t="n">
        <v>46176</v>
      </c>
      <c r="C189" s="5" t="inlineStr">
        <is>
          <t>2026-06</t>
        </is>
      </c>
      <c r="D189" s="5" t="inlineStr">
        <is>
          <t>MP Cartão</t>
        </is>
      </c>
      <c r="E189" s="5" t="inlineStr">
        <is>
          <t>DL*UberRides</t>
        </is>
      </c>
      <c r="F189" s="5" t="inlineStr">
        <is>
          <t>Transporte</t>
        </is>
      </c>
      <c r="G189" s="5" t="inlineStr">
        <is>
          <t>Transporte</t>
        </is>
      </c>
      <c r="H189" s="5" t="inlineStr">
        <is>
          <t>Essencial</t>
        </is>
      </c>
      <c r="I189" s="14" t="n">
        <v>-11.98</v>
      </c>
      <c r="J189" s="5" t="n"/>
      <c r="K189" s="5" t="inlineStr">
        <is>
          <t>BRL</t>
        </is>
      </c>
      <c r="L189" s="5" t="inlineStr">
        <is>
          <t>Despesa</t>
        </is>
      </c>
      <c r="M189" s="5" t="inlineStr">
        <is>
          <t>Fatura 2026-06</t>
        </is>
      </c>
    </row>
    <row r="190">
      <c r="A190" s="8" t="n">
        <v>140</v>
      </c>
      <c r="B190" s="9" t="n">
        <v>46176</v>
      </c>
      <c r="C190" s="10" t="inlineStr">
        <is>
          <t>2026-06</t>
        </is>
      </c>
      <c r="D190" s="10" t="inlineStr">
        <is>
          <t>MP Cartão</t>
        </is>
      </c>
      <c r="E190" s="10" t="inlineStr">
        <is>
          <t>CONTA VIVO</t>
        </is>
      </c>
      <c r="F190" s="10" t="inlineStr">
        <is>
          <t>Telecomunicações</t>
        </is>
      </c>
      <c r="G190" s="10" t="inlineStr">
        <is>
          <t>Telecomunicações</t>
        </is>
      </c>
      <c r="H190" s="10" t="inlineStr">
        <is>
          <t>Outros</t>
        </is>
      </c>
      <c r="I190" s="13" t="n">
        <v>-74.43000000000001</v>
      </c>
      <c r="J190" s="10" t="n"/>
      <c r="K190" s="10" t="inlineStr">
        <is>
          <t>BRL</t>
        </is>
      </c>
      <c r="L190" s="10" t="inlineStr">
        <is>
          <t>Despesa</t>
        </is>
      </c>
      <c r="M190" s="10" t="inlineStr">
        <is>
          <t>Fatura 2026-06</t>
        </is>
      </c>
    </row>
    <row r="191">
      <c r="A191" s="3" t="n">
        <v>141</v>
      </c>
      <c r="B191" s="4" t="n">
        <v>46176</v>
      </c>
      <c r="C191" s="5" t="inlineStr">
        <is>
          <t>2026-06</t>
        </is>
      </c>
      <c r="D191" s="5" t="inlineStr">
        <is>
          <t>MP Cartão</t>
        </is>
      </c>
      <c r="E191" s="5" t="inlineStr">
        <is>
          <t>UBER * PENDING</t>
        </is>
      </c>
      <c r="F191" s="5" t="inlineStr">
        <is>
          <t>Transporte</t>
        </is>
      </c>
      <c r="G191" s="5" t="inlineStr">
        <is>
          <t>Transporte</t>
        </is>
      </c>
      <c r="H191" s="5" t="inlineStr">
        <is>
          <t>Essencial</t>
        </is>
      </c>
      <c r="I191" s="14" t="n">
        <v>-19.68</v>
      </c>
      <c r="J191" s="5" t="n"/>
      <c r="K191" s="5" t="inlineStr">
        <is>
          <t>BRL</t>
        </is>
      </c>
      <c r="L191" s="5" t="inlineStr">
        <is>
          <t>Despesa</t>
        </is>
      </c>
      <c r="M191" s="5" t="inlineStr">
        <is>
          <t>Fatura 2026-06</t>
        </is>
      </c>
    </row>
    <row r="192">
      <c r="A192" s="8" t="n">
        <v>142</v>
      </c>
      <c r="B192" s="9" t="n">
        <v>46176</v>
      </c>
      <c r="C192" s="10" t="inlineStr">
        <is>
          <t>2026-06</t>
        </is>
      </c>
      <c r="D192" s="10" t="inlineStr">
        <is>
          <t>MP Cartão</t>
        </is>
      </c>
      <c r="E192" s="10" t="inlineStr">
        <is>
          <t>MP*LOTERIASONLINESPC2</t>
        </is>
      </c>
      <c r="F192" s="10" t="inlineStr">
        <is>
          <t>Loteria</t>
        </is>
      </c>
      <c r="G192" s="10" t="inlineStr">
        <is>
          <t>Lazer</t>
        </is>
      </c>
      <c r="H192" s="10" t="inlineStr">
        <is>
          <t>Estilo de Vida</t>
        </is>
      </c>
      <c r="I192" s="13" t="n">
        <v>-117</v>
      </c>
      <c r="J192" s="10" t="n"/>
      <c r="K192" s="10" t="inlineStr">
        <is>
          <t>BRL</t>
        </is>
      </c>
      <c r="L192" s="10" t="inlineStr">
        <is>
          <t>Despesa</t>
        </is>
      </c>
      <c r="M192" s="10" t="inlineStr">
        <is>
          <t>Fatura 2026-06</t>
        </is>
      </c>
    </row>
    <row r="193">
      <c r="A193" s="3" t="n">
        <v>143</v>
      </c>
      <c r="B193" s="4" t="n">
        <v>46176</v>
      </c>
      <c r="C193" s="5" t="inlineStr">
        <is>
          <t>2026-06</t>
        </is>
      </c>
      <c r="D193" s="5" t="inlineStr">
        <is>
          <t>MP Cartão</t>
        </is>
      </c>
      <c r="E193" s="5" t="inlineStr">
        <is>
          <t>UBER * PENDING</t>
        </is>
      </c>
      <c r="F193" s="5" t="inlineStr">
        <is>
          <t>Transporte</t>
        </is>
      </c>
      <c r="G193" s="5" t="inlineStr">
        <is>
          <t>Transporte</t>
        </is>
      </c>
      <c r="H193" s="5" t="inlineStr">
        <is>
          <t>Essencial</t>
        </is>
      </c>
      <c r="I193" s="14" t="n">
        <v>-43.99</v>
      </c>
      <c r="J193" s="5" t="n"/>
      <c r="K193" s="5" t="inlineStr">
        <is>
          <t>BRL</t>
        </is>
      </c>
      <c r="L193" s="5" t="inlineStr">
        <is>
          <t>Despesa</t>
        </is>
      </c>
      <c r="M193" s="5" t="inlineStr">
        <is>
          <t>Fatura 2026-06</t>
        </is>
      </c>
    </row>
    <row r="194">
      <c r="A194" s="8" t="n">
        <v>144</v>
      </c>
      <c r="B194" s="9" t="n">
        <v>46177</v>
      </c>
      <c r="C194" s="10" t="inlineStr">
        <is>
          <t>2026-06</t>
        </is>
      </c>
      <c r="D194" s="10" t="inlineStr">
        <is>
          <t>MP Cartão</t>
        </is>
      </c>
      <c r="E194" s="10" t="inlineStr">
        <is>
          <t>Compra internacional em WWW.PERPLEXITY.AI</t>
        </is>
      </c>
      <c r="F194" s="10" t="inlineStr">
        <is>
          <t>IA/Tecnologia</t>
        </is>
      </c>
      <c r="G194" s="10" t="inlineStr">
        <is>
          <t>Tecnologia/IA</t>
        </is>
      </c>
      <c r="H194" s="10" t="inlineStr">
        <is>
          <t>Estilo de Vida</t>
        </is>
      </c>
      <c r="I194" s="13" t="n">
        <v>-78.25</v>
      </c>
      <c r="J194" s="10" t="n"/>
      <c r="K194" s="10" t="inlineStr">
        <is>
          <t>USD</t>
        </is>
      </c>
      <c r="L194" s="10" t="inlineStr">
        <is>
          <t>Despesa</t>
        </is>
      </c>
      <c r="M194" s="10" t="inlineStr">
        <is>
          <t>Fatura 2026-06</t>
        </is>
      </c>
    </row>
    <row r="195">
      <c r="A195" s="3" t="n">
        <v>145</v>
      </c>
      <c r="B195" s="4" t="n">
        <v>46177</v>
      </c>
      <c r="C195" s="5" t="inlineStr">
        <is>
          <t>2026-06</t>
        </is>
      </c>
      <c r="D195" s="5" t="inlineStr">
        <is>
          <t>MP Cartão</t>
        </is>
      </c>
      <c r="E195" s="5" t="inlineStr">
        <is>
          <t>Compra internacional em WWW.PERPLEXITY.AI</t>
        </is>
      </c>
      <c r="F195" s="5" t="inlineStr">
        <is>
          <t>IA/Tecnologia</t>
        </is>
      </c>
      <c r="G195" s="5" t="inlineStr">
        <is>
          <t>Tecnologia/IA</t>
        </is>
      </c>
      <c r="H195" s="5" t="inlineStr">
        <is>
          <t>Estilo de Vida</t>
        </is>
      </c>
      <c r="I195" s="14" t="n">
        <v>-78.25</v>
      </c>
      <c r="J195" s="5" t="n"/>
      <c r="K195" s="5" t="inlineStr">
        <is>
          <t>USD</t>
        </is>
      </c>
      <c r="L195" s="5" t="inlineStr">
        <is>
          <t>Despesa</t>
        </is>
      </c>
      <c r="M195" s="5" t="inlineStr">
        <is>
          <t>Fatura 2026-06</t>
        </is>
      </c>
    </row>
    <row r="196">
      <c r="A196" s="8" t="n">
        <v>146</v>
      </c>
      <c r="B196" s="9" t="n">
        <v>46178</v>
      </c>
      <c r="C196" s="10" t="inlineStr">
        <is>
          <t>2026-06</t>
        </is>
      </c>
      <c r="D196" s="10" t="inlineStr">
        <is>
          <t>MP Cartão</t>
        </is>
      </c>
      <c r="E196" s="10" t="inlineStr">
        <is>
          <t>Compra internacional em WWW.PERPLEXITY.AI</t>
        </is>
      </c>
      <c r="F196" s="10" t="inlineStr">
        <is>
          <t>IA/Tecnologia</t>
        </is>
      </c>
      <c r="G196" s="10" t="inlineStr">
        <is>
          <t>Tecnologia/IA</t>
        </is>
      </c>
      <c r="H196" s="10" t="inlineStr">
        <is>
          <t>Estilo de Vida</t>
        </is>
      </c>
      <c r="I196" s="13" t="n">
        <v>-78.25</v>
      </c>
      <c r="J196" s="10" t="n"/>
      <c r="K196" s="10" t="inlineStr">
        <is>
          <t>USD</t>
        </is>
      </c>
      <c r="L196" s="10" t="inlineStr">
        <is>
          <t>Despesa</t>
        </is>
      </c>
      <c r="M196" s="10" t="inlineStr">
        <is>
          <t>Fatura 2026-06</t>
        </is>
      </c>
    </row>
    <row r="197">
      <c r="A197" s="3" t="n">
        <v>150</v>
      </c>
      <c r="B197" s="4" t="n">
        <v>46178</v>
      </c>
      <c r="C197" s="5" t="inlineStr">
        <is>
          <t>2026-06</t>
        </is>
      </c>
      <c r="D197" s="5" t="inlineStr">
        <is>
          <t>Banco Inter</t>
        </is>
      </c>
      <c r="E197" s="5" t="inlineStr">
        <is>
          <t>Eduardo Silva Dos Santos</t>
        </is>
      </c>
      <c r="F197" s="5" t="inlineStr">
        <is>
          <t>PIX Out</t>
        </is>
      </c>
      <c r="G197" s="5" t="inlineStr">
        <is>
          <t>Saída PIX</t>
        </is>
      </c>
      <c r="H197" s="5" t="inlineStr">
        <is>
          <t>Movimentação</t>
        </is>
      </c>
      <c r="I197" s="14" t="n">
        <v>-480</v>
      </c>
      <c r="J197" s="5" t="n"/>
      <c r="K197" s="5" t="inlineStr">
        <is>
          <t>BRL</t>
        </is>
      </c>
      <c r="L197" s="5" t="inlineStr">
        <is>
          <t>Despesa</t>
        </is>
      </c>
      <c r="M197" s="5" t="inlineStr"/>
    </row>
    <row r="198">
      <c r="A198" s="8" t="n">
        <v>196</v>
      </c>
      <c r="B198" s="9" t="n">
        <v>46178</v>
      </c>
      <c r="C198" s="10" t="inlineStr">
        <is>
          <t>2026-06</t>
        </is>
      </c>
      <c r="D198" s="10" t="inlineStr">
        <is>
          <t>BCB Câmbio</t>
        </is>
      </c>
      <c r="E198" s="10" t="inlineStr">
        <is>
          <t>UK - Eduardo Giovannini</t>
        </is>
      </c>
      <c r="F198" s="10" t="inlineStr">
        <is>
          <t>67995 Wise UK</t>
        </is>
      </c>
      <c r="G198" s="10" t="inlineStr">
        <is>
          <t>FX / Remessa</t>
        </is>
      </c>
      <c r="H198" s="10" t="inlineStr">
        <is>
          <t>Financeiro</t>
        </is>
      </c>
      <c r="I198" s="13" t="n">
        <v>-514.21</v>
      </c>
      <c r="J198" s="12" t="n">
        <v>100</v>
      </c>
      <c r="K198" s="10" t="inlineStr">
        <is>
          <t>USD</t>
        </is>
      </c>
      <c r="L198" s="10" t="inlineStr">
        <is>
          <t>Outbound</t>
        </is>
      </c>
      <c r="M198" s="10" t="inlineStr">
        <is>
          <t>Rate 5.1421</t>
        </is>
      </c>
    </row>
    <row r="199">
      <c r="A199" s="3" t="n">
        <v>197</v>
      </c>
      <c r="B199" s="4" t="n">
        <v>46178</v>
      </c>
      <c r="C199" s="5" t="inlineStr">
        <is>
          <t>2026-06</t>
        </is>
      </c>
      <c r="D199" s="5" t="inlineStr">
        <is>
          <t>BCB Câmbio</t>
        </is>
      </c>
      <c r="E199" s="5" t="inlineStr">
        <is>
          <t>Fundos investimento BRL</t>
        </is>
      </c>
      <c r="F199" s="5" t="inlineStr">
        <is>
          <t>67043 Fund capital</t>
        </is>
      </c>
      <c r="G199" s="5" t="inlineStr">
        <is>
          <t>Investimentos</t>
        </is>
      </c>
      <c r="H199" s="5" t="inlineStr">
        <is>
          <t>Financeiro</t>
        </is>
      </c>
      <c r="I199" s="6" t="n">
        <v>78323.92</v>
      </c>
      <c r="J199" s="7" t="n">
        <v>0</v>
      </c>
      <c r="K199" s="5" t="inlineStr">
        <is>
          <t>BRL</t>
        </is>
      </c>
      <c r="L199" s="5" t="inlineStr">
        <is>
          <t>Fund Deposit</t>
        </is>
      </c>
      <c r="M199" s="5" t="inlineStr"/>
    </row>
    <row r="200">
      <c r="A200" s="8" t="n">
        <v>198</v>
      </c>
      <c r="B200" s="9" t="n">
        <v>46178</v>
      </c>
      <c r="C200" s="10" t="inlineStr">
        <is>
          <t>2026-06</t>
        </is>
      </c>
      <c r="D200" s="10" t="inlineStr">
        <is>
          <t>BCB Câmbio</t>
        </is>
      </c>
      <c r="E200" s="10" t="inlineStr">
        <is>
          <t>USA → Eduardo Forster Giovannini</t>
        </is>
      </c>
      <c r="F200" s="10" t="inlineStr">
        <is>
          <t>72629 Inbound from USA</t>
        </is>
      </c>
      <c r="G200" s="10" t="inlineStr">
        <is>
          <t>Receita Ext.</t>
        </is>
      </c>
      <c r="H200" s="10" t="inlineStr">
        <is>
          <t>Financeiro</t>
        </is>
      </c>
      <c r="I200" s="11" t="n">
        <v>73857</v>
      </c>
      <c r="J200" s="12" t="n">
        <v>0</v>
      </c>
      <c r="K200" s="10" t="inlineStr">
        <is>
          <t>BRL</t>
        </is>
      </c>
      <c r="L200" s="10" t="inlineStr">
        <is>
          <t>Inbound</t>
        </is>
      </c>
      <c r="M200" s="10" t="inlineStr"/>
    </row>
    <row r="201">
      <c r="A201" s="3" t="n">
        <v>199</v>
      </c>
      <c r="B201" s="4" t="n">
        <v>46189</v>
      </c>
      <c r="C201" s="5" t="inlineStr">
        <is>
          <t>2026-06</t>
        </is>
      </c>
      <c r="D201" s="5" t="inlineStr">
        <is>
          <t>BCB Câmbio</t>
        </is>
      </c>
      <c r="E201" s="5" t="inlineStr">
        <is>
          <t>Inbound payment order</t>
        </is>
      </c>
      <c r="F201" s="5" t="inlineStr">
        <is>
          <t>72629 Inbound payment order</t>
        </is>
      </c>
      <c r="G201" s="5" t="inlineStr">
        <is>
          <t>Receita Ext.</t>
        </is>
      </c>
      <c r="H201" s="5" t="inlineStr">
        <is>
          <t>Financeiro</t>
        </is>
      </c>
      <c r="I201" s="6" t="n">
        <v>25000</v>
      </c>
      <c r="J201" s="7" t="n">
        <v>0</v>
      </c>
      <c r="K201" s="5" t="inlineStr">
        <is>
          <t>BRL</t>
        </is>
      </c>
      <c r="L201" s="5" t="inlineStr">
        <is>
          <t>Inbound</t>
        </is>
      </c>
      <c r="M201" s="5" t="inlineStr"/>
    </row>
    <row r="202">
      <c r="A202" s="8" t="n">
        <v>200</v>
      </c>
      <c r="B202" s="9" t="n">
        <v>46192</v>
      </c>
      <c r="C202" s="10" t="inlineStr">
        <is>
          <t>2026-06</t>
        </is>
      </c>
      <c r="D202" s="10" t="inlineStr">
        <is>
          <t>BCB Câmbio</t>
        </is>
      </c>
      <c r="E202" s="10" t="inlineStr">
        <is>
          <t>Fundos investimento BRL</t>
        </is>
      </c>
      <c r="F202" s="10" t="inlineStr">
        <is>
          <t>67043 Fund capital</t>
        </is>
      </c>
      <c r="G202" s="10" t="inlineStr">
        <is>
          <t>Investimentos</t>
        </is>
      </c>
      <c r="H202" s="10" t="inlineStr">
        <is>
          <t>Financeiro</t>
        </is>
      </c>
      <c r="I202" s="11" t="n">
        <v>52441.91</v>
      </c>
      <c r="J202" s="12" t="n">
        <v>0</v>
      </c>
      <c r="K202" s="10" t="inlineStr">
        <is>
          <t>BRL</t>
        </is>
      </c>
      <c r="L202" s="10" t="inlineStr">
        <is>
          <t>Fund Deposit</t>
        </is>
      </c>
      <c r="M202" s="10" t="inlineStr"/>
    </row>
    <row r="203">
      <c r="A203" s="3" t="n">
        <v>201</v>
      </c>
      <c r="B203" s="4" t="n">
        <v>46195</v>
      </c>
      <c r="C203" s="5" t="inlineStr">
        <is>
          <t>2026-06</t>
        </is>
      </c>
      <c r="D203" s="5" t="inlineStr">
        <is>
          <t>BCB Câmbio</t>
        </is>
      </c>
      <c r="E203" s="5" t="inlineStr">
        <is>
          <t>USA - Own Account</t>
        </is>
      </c>
      <c r="F203" s="5" t="inlineStr">
        <is>
          <t>67995 Self-transfer</t>
        </is>
      </c>
      <c r="G203" s="5" t="inlineStr">
        <is>
          <t>FX / Remessa</t>
        </is>
      </c>
      <c r="H203" s="5" t="inlineStr">
        <is>
          <t>Financeiro</t>
        </is>
      </c>
      <c r="I203" s="14" t="n">
        <v>-241545.87</v>
      </c>
      <c r="J203" s="7" t="n">
        <v>46229.38</v>
      </c>
      <c r="K203" s="5" t="inlineStr">
        <is>
          <t>USD</t>
        </is>
      </c>
      <c r="L203" s="5" t="inlineStr">
        <is>
          <t>Outbound</t>
        </is>
      </c>
      <c r="M203" s="5" t="inlineStr">
        <is>
          <t>Rate 5.2245</t>
        </is>
      </c>
    </row>
    <row r="204">
      <c r="A204" s="8" t="n">
        <v>202</v>
      </c>
      <c r="B204" s="9" t="n">
        <v>46195</v>
      </c>
      <c r="C204" s="10" t="inlineStr">
        <is>
          <t>2026-06</t>
        </is>
      </c>
      <c r="D204" s="10" t="inlineStr">
        <is>
          <t>BCB Câmbio</t>
        </is>
      </c>
      <c r="E204" s="10" t="inlineStr">
        <is>
          <t>UK - Eduardo Giovannini</t>
        </is>
      </c>
      <c r="F204" s="10" t="inlineStr">
        <is>
          <t>67995 Wise UK</t>
        </is>
      </c>
      <c r="G204" s="10" t="inlineStr">
        <is>
          <t>FX / Remessa</t>
        </is>
      </c>
      <c r="H204" s="10" t="inlineStr">
        <is>
          <t>Financeiro</t>
        </is>
      </c>
      <c r="I204" s="13" t="n">
        <v>-87442.25999999999</v>
      </c>
      <c r="J204" s="12" t="n">
        <v>17000</v>
      </c>
      <c r="K204" s="10" t="inlineStr">
        <is>
          <t>USD</t>
        </is>
      </c>
      <c r="L204" s="10" t="inlineStr">
        <is>
          <t>Outbound</t>
        </is>
      </c>
      <c r="M204" s="10" t="inlineStr">
        <is>
          <t>Rate 5.1436</t>
        </is>
      </c>
    </row>
    <row r="205">
      <c r="A205" s="3" t="n">
        <v>203</v>
      </c>
      <c r="B205" s="4" t="n">
        <v>46195</v>
      </c>
      <c r="C205" s="5" t="inlineStr">
        <is>
          <t>2026-06</t>
        </is>
      </c>
      <c r="D205" s="5" t="inlineStr">
        <is>
          <t>BCB Câmbio</t>
        </is>
      </c>
      <c r="E205" s="5" t="inlineStr">
        <is>
          <t>Interactive Brokers</t>
        </is>
      </c>
      <c r="F205" s="5" t="inlineStr">
        <is>
          <t>91992 IB via Wise</t>
        </is>
      </c>
      <c r="G205" s="5" t="inlineStr">
        <is>
          <t>Investimentos</t>
        </is>
      </c>
      <c r="H205" s="5" t="inlineStr">
        <is>
          <t>Financeiro</t>
        </is>
      </c>
      <c r="I205" s="6" t="n">
        <v>38396.86</v>
      </c>
      <c r="J205" s="7" t="n">
        <v>7454.1</v>
      </c>
      <c r="K205" s="5" t="inlineStr">
        <is>
          <t>USD</t>
        </is>
      </c>
      <c r="L205" s="5" t="inlineStr">
        <is>
          <t>IB Deposit</t>
        </is>
      </c>
      <c r="M205" s="5" t="inlineStr">
        <is>
          <t>Rate 5.1510</t>
        </is>
      </c>
    </row>
    <row r="206">
      <c r="A206" s="8" t="n">
        <v>149</v>
      </c>
      <c r="B206" s="9" t="n">
        <v>46198</v>
      </c>
      <c r="C206" s="10" t="inlineStr">
        <is>
          <t>2026-06</t>
        </is>
      </c>
      <c r="D206" s="10" t="inlineStr">
        <is>
          <t>Banco Inter</t>
        </is>
      </c>
      <c r="E206" s="10" t="inlineStr">
        <is>
          <t>Eduardo F Giovannini</t>
        </is>
      </c>
      <c r="F206" s="10" t="inlineStr">
        <is>
          <t>PIX In</t>
        </is>
      </c>
      <c r="G206" s="10" t="inlineStr">
        <is>
          <t>Entrada PIX</t>
        </is>
      </c>
      <c r="H206" s="10" t="inlineStr">
        <is>
          <t>Movimentação</t>
        </is>
      </c>
      <c r="I206" s="11" t="n">
        <v>10</v>
      </c>
      <c r="J206" s="10" t="n"/>
      <c r="K206" s="10" t="inlineStr">
        <is>
          <t>BRL</t>
        </is>
      </c>
      <c r="L206" s="10" t="inlineStr">
        <is>
          <t>Receita</t>
        </is>
      </c>
      <c r="M206" s="10" t="inlineStr"/>
    </row>
    <row r="207">
      <c r="A207" s="3" t="n">
        <v>204</v>
      </c>
      <c r="B207" s="4" t="n">
        <v>46199</v>
      </c>
      <c r="C207" s="5" t="inlineStr">
        <is>
          <t>2026-06</t>
        </is>
      </c>
      <c r="D207" s="5" t="inlineStr">
        <is>
          <t>BCB Câmbio</t>
        </is>
      </c>
      <c r="E207" s="5" t="inlineStr">
        <is>
          <t>Interactive Brokers</t>
        </is>
      </c>
      <c r="F207" s="5" t="inlineStr">
        <is>
          <t>91992 IB withdrawal via Wise</t>
        </is>
      </c>
      <c r="G207" s="5" t="inlineStr"/>
      <c r="H207" s="5" t="inlineStr">
        <is>
          <t>Outros</t>
        </is>
      </c>
      <c r="I207" s="6" t="n">
        <v>19195.81</v>
      </c>
      <c r="J207" s="7" t="n">
        <v>3834.82</v>
      </c>
      <c r="K207" s="5" t="inlineStr">
        <is>
          <t>USD</t>
        </is>
      </c>
      <c r="L207" s="5" t="inlineStr">
        <is>
          <t>IB Withdraw</t>
        </is>
      </c>
      <c r="M207" s="5" t="inlineStr">
        <is>
          <t>Rate 5.1783</t>
        </is>
      </c>
    </row>
    <row r="208">
      <c r="A208" s="8" t="n">
        <v>147</v>
      </c>
      <c r="B208" s="9" t="n">
        <v>46201</v>
      </c>
      <c r="C208" s="10" t="inlineStr">
        <is>
          <t>2026-06</t>
        </is>
      </c>
      <c r="D208" s="10" t="inlineStr">
        <is>
          <t>Banco Inter</t>
        </is>
      </c>
      <c r="E208" s="10" t="inlineStr">
        <is>
          <t>Eduardo Forster Giovannini</t>
        </is>
      </c>
      <c r="F208" s="10" t="inlineStr">
        <is>
          <t>PIX In</t>
        </is>
      </c>
      <c r="G208" s="10" t="inlineStr">
        <is>
          <t>Entrada PIX</t>
        </is>
      </c>
      <c r="H208" s="10" t="inlineStr">
        <is>
          <t>Movimentação</t>
        </is>
      </c>
      <c r="I208" s="11" t="n">
        <v>2000</v>
      </c>
      <c r="J208" s="10" t="n"/>
      <c r="K208" s="10" t="inlineStr">
        <is>
          <t>BRL</t>
        </is>
      </c>
      <c r="L208" s="10" t="inlineStr">
        <is>
          <t>Receita</t>
        </is>
      </c>
      <c r="M208" s="10" t="inlineStr"/>
    </row>
    <row r="209">
      <c r="A209" s="3" t="n">
        <v>148</v>
      </c>
      <c r="B209" s="4" t="n">
        <v>46201</v>
      </c>
      <c r="C209" s="5" t="inlineStr">
        <is>
          <t>2026-06</t>
        </is>
      </c>
      <c r="D209" s="5" t="inlineStr">
        <is>
          <t>Banco Inter</t>
        </is>
      </c>
      <c r="E209" s="5" t="inlineStr">
        <is>
          <t>Eduardo F Giovannini</t>
        </is>
      </c>
      <c r="F209" s="5" t="inlineStr">
        <is>
          <t>PIX In</t>
        </is>
      </c>
      <c r="G209" s="5" t="inlineStr">
        <is>
          <t>Entrada PIX</t>
        </is>
      </c>
      <c r="H209" s="5" t="inlineStr">
        <is>
          <t>Movimentação</t>
        </is>
      </c>
      <c r="I209" s="6" t="n">
        <v>40000</v>
      </c>
      <c r="J209" s="5" t="n"/>
      <c r="K209" s="5" t="inlineStr">
        <is>
          <t>BRL</t>
        </is>
      </c>
      <c r="L209" s="5" t="inlineStr">
        <is>
          <t>Receita</t>
        </is>
      </c>
      <c r="M209" s="5" t="inlineStr"/>
    </row>
  </sheetData>
  <autoFilter ref="A2:M209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173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🗂️  Mapa de Categorias &amp; Grupos</t>
        </is>
      </c>
    </row>
    <row r="2">
      <c r="A2" s="2" t="inlineStr">
        <is>
          <t>Categoria</t>
        </is>
      </c>
      <c r="B2" s="2" t="inlineStr">
        <is>
          <t>Grupo</t>
        </is>
      </c>
      <c r="C2" s="2" t="inlineStr">
        <is>
          <t>Orçamento Mensal (R$)</t>
        </is>
      </c>
      <c r="D2" s="2" t="inlineStr">
        <is>
          <t>Essencial?</t>
        </is>
      </c>
      <c r="E2" s="2" t="inlineStr">
        <is>
          <t>Rastrear?</t>
        </is>
      </c>
      <c r="F2" s="2" t="inlineStr">
        <is>
          <t>Notas</t>
        </is>
      </c>
    </row>
    <row r="3">
      <c r="A3" s="5" t="inlineStr"/>
      <c r="B3" s="5" t="inlineStr">
        <is>
          <t>Outros</t>
        </is>
      </c>
      <c r="C3" s="7" t="n">
        <v>0</v>
      </c>
      <c r="D3" s="15" t="inlineStr">
        <is>
          <t>Não</t>
        </is>
      </c>
      <c r="E3" s="15" t="inlineStr">
        <is>
          <t>—</t>
        </is>
      </c>
      <c r="F3" s="5" t="inlineStr"/>
    </row>
    <row r="4">
      <c r="A4" s="10" t="inlineStr">
        <is>
          <t>Alimentação</t>
        </is>
      </c>
      <c r="B4" s="10" t="inlineStr">
        <is>
          <t>Essencial</t>
        </is>
      </c>
      <c r="C4" s="12" t="n">
        <v>3000</v>
      </c>
      <c r="D4" s="16" t="inlineStr">
        <is>
          <t>✅ Sim</t>
        </is>
      </c>
      <c r="E4" s="16" t="inlineStr">
        <is>
          <t>✅ Sim</t>
        </is>
      </c>
      <c r="F4" s="10" t="inlineStr"/>
    </row>
    <row r="5">
      <c r="A5" s="5" t="inlineStr">
        <is>
          <t>Assinaturas</t>
        </is>
      </c>
      <c r="B5" s="5" t="inlineStr">
        <is>
          <t>Estilo de Vida</t>
        </is>
      </c>
      <c r="C5" s="7" t="n">
        <v>800</v>
      </c>
      <c r="D5" s="15" t="inlineStr">
        <is>
          <t>Não</t>
        </is>
      </c>
      <c r="E5" s="15" t="inlineStr">
        <is>
          <t>✅ Sim</t>
        </is>
      </c>
      <c r="F5" s="5" t="inlineStr"/>
    </row>
    <row r="6">
      <c r="A6" s="10" t="inlineStr">
        <is>
          <t>Compras/ML</t>
        </is>
      </c>
      <c r="B6" s="10" t="inlineStr">
        <is>
          <t>Outros</t>
        </is>
      </c>
      <c r="C6" s="12" t="n">
        <v>0</v>
      </c>
      <c r="D6" s="16" t="inlineStr">
        <is>
          <t>Não</t>
        </is>
      </c>
      <c r="E6" s="16" t="inlineStr">
        <is>
          <t>—</t>
        </is>
      </c>
      <c r="F6" s="10" t="inlineStr"/>
    </row>
    <row r="7">
      <c r="A7" s="5" t="inlineStr">
        <is>
          <t>Digital</t>
        </is>
      </c>
      <c r="B7" s="5" t="inlineStr">
        <is>
          <t>Outros</t>
        </is>
      </c>
      <c r="C7" s="7" t="n">
        <v>0</v>
      </c>
      <c r="D7" s="15" t="inlineStr">
        <is>
          <t>Não</t>
        </is>
      </c>
      <c r="E7" s="15" t="inlineStr">
        <is>
          <t>—</t>
        </is>
      </c>
      <c r="F7" s="5" t="inlineStr"/>
    </row>
    <row r="8">
      <c r="A8" s="10" t="inlineStr">
        <is>
          <t>Entrada PIX</t>
        </is>
      </c>
      <c r="B8" s="10" t="inlineStr">
        <is>
          <t>Movimentação</t>
        </is>
      </c>
      <c r="C8" s="12" t="n">
        <v>0</v>
      </c>
      <c r="D8" s="16" t="inlineStr">
        <is>
          <t>Não</t>
        </is>
      </c>
      <c r="E8" s="16" t="inlineStr">
        <is>
          <t>—</t>
        </is>
      </c>
      <c r="F8" s="10" t="inlineStr"/>
    </row>
    <row r="9">
      <c r="A9" s="5" t="inlineStr">
        <is>
          <t>FX / Remessa</t>
        </is>
      </c>
      <c r="B9" s="5" t="inlineStr">
        <is>
          <t>Financeiro</t>
        </is>
      </c>
      <c r="C9" s="7" t="n">
        <v>20000</v>
      </c>
      <c r="D9" s="15" t="inlineStr">
        <is>
          <t>Não</t>
        </is>
      </c>
      <c r="E9" s="15" t="inlineStr">
        <is>
          <t>✅ Sim</t>
        </is>
      </c>
      <c r="F9" s="5" t="inlineStr"/>
    </row>
    <row r="10">
      <c r="A10" s="10" t="inlineStr">
        <is>
          <t>Investimentos</t>
        </is>
      </c>
      <c r="B10" s="10" t="inlineStr">
        <is>
          <t>Financeiro</t>
        </is>
      </c>
      <c r="C10" s="12" t="n">
        <v>0</v>
      </c>
      <c r="D10" s="16" t="inlineStr">
        <is>
          <t>Não</t>
        </is>
      </c>
      <c r="E10" s="16" t="inlineStr">
        <is>
          <t>—</t>
        </is>
      </c>
      <c r="F10" s="10" t="inlineStr"/>
    </row>
    <row r="11">
      <c r="A11" s="5" t="inlineStr">
        <is>
          <t>Lazer</t>
        </is>
      </c>
      <c r="B11" s="5" t="inlineStr">
        <is>
          <t>Estilo de Vida</t>
        </is>
      </c>
      <c r="C11" s="7" t="n">
        <v>500</v>
      </c>
      <c r="D11" s="15" t="inlineStr">
        <is>
          <t>Não</t>
        </is>
      </c>
      <c r="E11" s="15" t="inlineStr">
        <is>
          <t>✅ Sim</t>
        </is>
      </c>
      <c r="F11" s="5" t="inlineStr"/>
    </row>
    <row r="12">
      <c r="A12" s="10" t="inlineStr">
        <is>
          <t>Outros</t>
        </is>
      </c>
      <c r="B12" s="10" t="inlineStr">
        <is>
          <t>Administrativo</t>
        </is>
      </c>
      <c r="C12" s="12" t="n">
        <v>300</v>
      </c>
      <c r="D12" s="16" t="inlineStr">
        <is>
          <t>Não</t>
        </is>
      </c>
      <c r="E12" s="16" t="inlineStr">
        <is>
          <t>✅ Sim</t>
        </is>
      </c>
      <c r="F12" s="10" t="inlineStr"/>
    </row>
    <row r="13">
      <c r="A13" s="5" t="inlineStr">
        <is>
          <t>Receita Ext.</t>
        </is>
      </c>
      <c r="B13" s="5" t="inlineStr">
        <is>
          <t>Financeiro</t>
        </is>
      </c>
      <c r="C13" s="7" t="n">
        <v>0</v>
      </c>
      <c r="D13" s="15" t="inlineStr">
        <is>
          <t>Não</t>
        </is>
      </c>
      <c r="E13" s="15" t="inlineStr">
        <is>
          <t>—</t>
        </is>
      </c>
      <c r="F13" s="5" t="inlineStr"/>
    </row>
    <row r="14">
      <c r="A14" s="10" t="inlineStr">
        <is>
          <t>Saída PIX</t>
        </is>
      </c>
      <c r="B14" s="10" t="inlineStr">
        <is>
          <t>Movimentação</t>
        </is>
      </c>
      <c r="C14" s="12" t="n">
        <v>2000</v>
      </c>
      <c r="D14" s="16" t="inlineStr">
        <is>
          <t>Não</t>
        </is>
      </c>
      <c r="E14" s="16" t="inlineStr">
        <is>
          <t>✅ Sim</t>
        </is>
      </c>
      <c r="F14" s="10" t="inlineStr"/>
    </row>
    <row r="15">
      <c r="A15" s="5" t="inlineStr">
        <is>
          <t>Tecnologia/IA</t>
        </is>
      </c>
      <c r="B15" s="5" t="inlineStr">
        <is>
          <t>Estilo de Vida</t>
        </is>
      </c>
      <c r="C15" s="7" t="n">
        <v>1500</v>
      </c>
      <c r="D15" s="15" t="inlineStr">
        <is>
          <t>Não</t>
        </is>
      </c>
      <c r="E15" s="15" t="inlineStr">
        <is>
          <t>✅ Sim</t>
        </is>
      </c>
      <c r="F15" s="5" t="inlineStr"/>
    </row>
    <row r="16">
      <c r="A16" s="10" t="inlineStr">
        <is>
          <t>Telecomunicações</t>
        </is>
      </c>
      <c r="B16" s="10" t="inlineStr">
        <is>
          <t>Outros</t>
        </is>
      </c>
      <c r="C16" s="12" t="n">
        <v>400</v>
      </c>
      <c r="D16" s="16" t="inlineStr">
        <is>
          <t>✅ Sim</t>
        </is>
      </c>
      <c r="E16" s="16" t="inlineStr">
        <is>
          <t>✅ Sim</t>
        </is>
      </c>
      <c r="F16" s="10" t="inlineStr"/>
    </row>
    <row r="17">
      <c r="A17" s="5" t="inlineStr">
        <is>
          <t>Transporte</t>
        </is>
      </c>
      <c r="B17" s="5" t="inlineStr">
        <is>
          <t>Essencial</t>
        </is>
      </c>
      <c r="C17" s="7" t="n">
        <v>1200</v>
      </c>
      <c r="D17" s="15" t="inlineStr">
        <is>
          <t>✅ Sim</t>
        </is>
      </c>
      <c r="E17" s="15" t="inlineStr">
        <is>
          <t>✅ Sim</t>
        </is>
      </c>
      <c r="F17" s="5" t="inlineStr"/>
    </row>
    <row r="18">
      <c r="A18" s="10" t="inlineStr">
        <is>
          <t>Viagem/Lazer</t>
        </is>
      </c>
      <c r="B18" s="10" t="inlineStr">
        <is>
          <t>Estilo de Vida</t>
        </is>
      </c>
      <c r="C18" s="12" t="n">
        <v>1000</v>
      </c>
      <c r="D18" s="16" t="inlineStr">
        <is>
          <t>Não</t>
        </is>
      </c>
      <c r="E18" s="16" t="inlineStr">
        <is>
          <t>✅ Sim</t>
        </is>
      </c>
      <c r="F18" s="10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96C"/>
    <outlinePr summaryBelow="1" summaryRight="1"/>
    <pageSetUpPr/>
  </sheetPr>
  <dimension ref="A1:G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30" customWidth="1" min="7" max="7"/>
  </cols>
  <sheetData>
    <row r="1">
      <c r="A1" s="1" t="inlineStr">
        <is>
          <t>📅  Resumo Mensal – Receitas · Despesas · Saldo · Taxa de Poupança</t>
        </is>
      </c>
    </row>
    <row r="2">
      <c r="A2" s="2" t="inlineStr">
        <is>
          <t>Mês</t>
        </is>
      </c>
      <c r="B2" s="2" t="inlineStr">
        <is>
          <t>Receitas (R$)</t>
        </is>
      </c>
      <c r="C2" s="2" t="inlineStr">
        <is>
          <t>Despesas (R$)</t>
        </is>
      </c>
      <c r="D2" s="2" t="inlineStr">
        <is>
          <t>Saldo (R$)</t>
        </is>
      </c>
      <c r="E2" s="2" t="inlineStr">
        <is>
          <t>% Poupança</t>
        </is>
      </c>
      <c r="F2" s="2" t="inlineStr">
        <is>
          <t>Nº Lançamentos</t>
        </is>
      </c>
      <c r="G2" s="2" t="inlineStr">
        <is>
          <t>Maior Despesa</t>
        </is>
      </c>
    </row>
    <row r="3">
      <c r="A3" s="5" t="inlineStr">
        <is>
          <t>2024-08</t>
        </is>
      </c>
      <c r="B3" s="7" t="n">
        <v>17091.99</v>
      </c>
      <c r="C3" s="7" t="n">
        <v>0</v>
      </c>
      <c r="D3" s="6" t="n">
        <v>17091.99</v>
      </c>
      <c r="E3" s="17" t="n">
        <v>1</v>
      </c>
      <c r="F3" s="3" t="n">
        <v>2</v>
      </c>
      <c r="G3" s="5" t="inlineStr"/>
    </row>
    <row r="4">
      <c r="A4" s="10" t="inlineStr">
        <is>
          <t>2024-11</t>
        </is>
      </c>
      <c r="B4" s="12" t="n">
        <v>10534.12</v>
      </c>
      <c r="C4" s="12" t="n">
        <v>0</v>
      </c>
      <c r="D4" s="11" t="n">
        <v>10534.12</v>
      </c>
      <c r="E4" s="18" t="n">
        <v>1</v>
      </c>
      <c r="F4" s="8" t="n">
        <v>1</v>
      </c>
      <c r="G4" s="10" t="inlineStr"/>
    </row>
    <row r="5">
      <c r="A5" s="5" t="inlineStr">
        <is>
          <t>2026-01</t>
        </is>
      </c>
      <c r="B5" s="7" t="n">
        <v>1071.22</v>
      </c>
      <c r="C5" s="7" t="n">
        <v>35695.3</v>
      </c>
      <c r="D5" s="14" t="n">
        <v>-34624.08</v>
      </c>
      <c r="E5" s="17" t="n">
        <v>-32.32210003547358</v>
      </c>
      <c r="F5" s="3" t="n">
        <v>21</v>
      </c>
      <c r="G5" s="5" t="inlineStr">
        <is>
          <t>FX / Remessa</t>
        </is>
      </c>
    </row>
    <row r="6">
      <c r="A6" s="10" t="inlineStr">
        <is>
          <t>2026-02</t>
        </is>
      </c>
      <c r="B6" s="12" t="n">
        <v>40000</v>
      </c>
      <c r="C6" s="12" t="n">
        <v>41174.65</v>
      </c>
      <c r="D6" s="13" t="n">
        <v>-1174.650000000001</v>
      </c>
      <c r="E6" s="18" t="n">
        <v>-0.02936625000000003</v>
      </c>
      <c r="F6" s="8" t="n">
        <v>24</v>
      </c>
      <c r="G6" s="10" t="inlineStr">
        <is>
          <t>FX / Remessa</t>
        </is>
      </c>
    </row>
    <row r="7">
      <c r="A7" s="5" t="inlineStr">
        <is>
          <t>2026-03</t>
        </is>
      </c>
      <c r="B7" s="7" t="n">
        <v>0</v>
      </c>
      <c r="C7" s="7" t="n">
        <v>73528.56</v>
      </c>
      <c r="D7" s="14" t="n">
        <v>-73528.56</v>
      </c>
      <c r="E7" s="17" t="n">
        <v>0</v>
      </c>
      <c r="F7" s="3" t="n">
        <v>39</v>
      </c>
      <c r="G7" s="5" t="inlineStr">
        <is>
          <t>FX / Remessa</t>
        </is>
      </c>
    </row>
    <row r="8">
      <c r="A8" s="10" t="inlineStr">
        <is>
          <t>2026-04</t>
        </is>
      </c>
      <c r="B8" s="12" t="n">
        <v>40503.62</v>
      </c>
      <c r="C8" s="12" t="n">
        <v>31538.52</v>
      </c>
      <c r="D8" s="11" t="n">
        <v>8965.100000000002</v>
      </c>
      <c r="E8" s="18" t="n">
        <v>0.2213407097933469</v>
      </c>
      <c r="F8" s="8" t="n">
        <v>41</v>
      </c>
      <c r="G8" s="10" t="inlineStr">
        <is>
          <t>FX / Remessa</t>
        </is>
      </c>
    </row>
    <row r="9">
      <c r="A9" s="5" t="inlineStr">
        <is>
          <t>2026-05</t>
        </is>
      </c>
      <c r="B9" s="7" t="n">
        <v>317734.87</v>
      </c>
      <c r="C9" s="7" t="n">
        <v>269163.21</v>
      </c>
      <c r="D9" s="6" t="n">
        <v>48571.65999999997</v>
      </c>
      <c r="E9" s="17" t="n">
        <v>0.1528685221109033</v>
      </c>
      <c r="F9" s="3" t="n">
        <v>53</v>
      </c>
      <c r="G9" s="5" t="inlineStr">
        <is>
          <t>FX / Remessa</t>
        </is>
      </c>
    </row>
    <row r="10">
      <c r="A10" s="10" t="inlineStr">
        <is>
          <t>2026-06</t>
        </is>
      </c>
      <c r="B10" s="12" t="n">
        <v>329225.5</v>
      </c>
      <c r="C10" s="12" t="n">
        <v>331096.51</v>
      </c>
      <c r="D10" s="13" t="n">
        <v>-1871.010000000009</v>
      </c>
      <c r="E10" s="18" t="n">
        <v>-0.005683065254665903</v>
      </c>
      <c r="F10" s="8" t="n">
        <v>26</v>
      </c>
      <c r="G10" s="10" t="inlineStr">
        <is>
          <t>FX / Remessa</t>
        </is>
      </c>
    </row>
    <row r="11">
      <c r="A11" s="19" t="inlineStr">
        <is>
          <t>TOTAL</t>
        </is>
      </c>
      <c r="B11" s="20" t="n">
        <v>756161.3199999999</v>
      </c>
      <c r="C11" s="20" t="n">
        <v>782196.75</v>
      </c>
      <c r="D11" s="20" t="n">
        <v>-26035.43000000005</v>
      </c>
      <c r="E11" s="21" t="n">
        <v>-0.03443105235798104</v>
      </c>
      <c r="F11" s="22" t="n">
        <v>207</v>
      </c>
      <c r="G11" s="2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A261"/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8" customWidth="1" min="4" max="4"/>
    <col width="14" customWidth="1" min="5" max="5"/>
    <col width="35" customWidth="1" min="6" max="6"/>
    <col width="35" customWidth="1" min="7" max="7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📂  Despesas por Grupo – Período Completo + Breakdown Mensal</t>
        </is>
      </c>
    </row>
    <row r="2">
      <c r="A2" s="2" t="inlineStr">
        <is>
          <t>Grupo</t>
        </is>
      </c>
      <c r="B2" s="2" t="inlineStr">
        <is>
          <t>Total (R$)</t>
        </is>
      </c>
      <c r="C2" s="2" t="inlineStr">
        <is>
          <t>% das Despesas</t>
        </is>
      </c>
      <c r="D2" s="2" t="inlineStr">
        <is>
          <t>Qtd.</t>
        </is>
      </c>
      <c r="E2" s="2" t="inlineStr">
        <is>
          <t>Média/Mês</t>
        </is>
      </c>
      <c r="F2" s="2" t="inlineStr">
        <is>
          <t>Leitura</t>
        </is>
      </c>
      <c r="G2" s="2" t="inlineStr">
        <is>
          <t>Ação</t>
        </is>
      </c>
      <c r="I2" s="2" t="inlineStr">
        <is>
          <t>2024-08</t>
        </is>
      </c>
      <c r="J2" s="2" t="inlineStr">
        <is>
          <t>2024-11</t>
        </is>
      </c>
      <c r="K2" s="2" t="inlineStr">
        <is>
          <t>2026-01</t>
        </is>
      </c>
      <c r="L2" s="2" t="inlineStr">
        <is>
          <t>2026-02</t>
        </is>
      </c>
      <c r="M2" s="2" t="inlineStr">
        <is>
          <t>2026-03</t>
        </is>
      </c>
      <c r="N2" s="2" t="inlineStr">
        <is>
          <t>2026-04</t>
        </is>
      </c>
      <c r="O2" s="2" t="inlineStr">
        <is>
          <t>2026-05</t>
        </is>
      </c>
      <c r="P2" s="2" t="inlineStr">
        <is>
          <t>2026-06</t>
        </is>
      </c>
    </row>
    <row r="3">
      <c r="A3" s="5" t="inlineStr">
        <is>
          <t>Financeiro</t>
        </is>
      </c>
      <c r="B3" s="7" t="n">
        <v>652788.61</v>
      </c>
      <c r="C3" s="17" t="n">
        <v>0.8345580699485136</v>
      </c>
      <c r="D3" s="3" t="n">
        <v>19</v>
      </c>
      <c r="E3" s="7" t="n">
        <v>81598.57625</v>
      </c>
      <c r="F3" s="23" t="inlineStr">
        <is>
          <t>FX + IOF — alto impacto</t>
        </is>
      </c>
      <c r="G3" s="23" t="inlineStr">
        <is>
          <t>Verificar câmbio recorrente</t>
        </is>
      </c>
      <c r="I3" s="7" t="n">
        <v>0</v>
      </c>
      <c r="J3" s="7" t="n">
        <v>0</v>
      </c>
      <c r="K3" s="7" t="n">
        <v>31949.9</v>
      </c>
      <c r="L3" s="7" t="n">
        <v>31658.75</v>
      </c>
      <c r="M3" s="7" t="n">
        <v>47864.68</v>
      </c>
      <c r="N3" s="7" t="n">
        <v>15878.08</v>
      </c>
      <c r="O3" s="7" t="n">
        <v>195934.86</v>
      </c>
      <c r="P3" s="7" t="n">
        <v>329502.34</v>
      </c>
    </row>
    <row r="4">
      <c r="A4" s="10" t="inlineStr">
        <is>
          <t>Movimentação</t>
        </is>
      </c>
      <c r="B4" s="12" t="n">
        <v>92162.38</v>
      </c>
      <c r="C4" s="18" t="n">
        <v>0.1178250612777412</v>
      </c>
      <c r="D4" s="8" t="n">
        <v>18</v>
      </c>
      <c r="E4" s="12" t="n">
        <v>11520.2975</v>
      </c>
      <c r="F4" s="24" t="inlineStr">
        <is>
          <t>Transferências internas</t>
        </is>
      </c>
      <c r="G4" s="24" t="inlineStr">
        <is>
          <t>Separar internos de terceiros</t>
        </is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11432.41</v>
      </c>
      <c r="N4" s="12" t="n">
        <v>10330</v>
      </c>
      <c r="O4" s="12" t="n">
        <v>69919.97</v>
      </c>
      <c r="P4" s="12" t="n">
        <v>480</v>
      </c>
    </row>
    <row r="5">
      <c r="A5" s="5" t="inlineStr">
        <is>
          <t>Estilo de Vida</t>
        </is>
      </c>
      <c r="B5" s="7" t="n">
        <v>23343.79000000001</v>
      </c>
      <c r="C5" s="17" t="n">
        <v>0.029843885186176</v>
      </c>
      <c r="D5" s="3" t="n">
        <v>96</v>
      </c>
      <c r="E5" s="7" t="n">
        <v>2917.973750000001</v>
      </c>
      <c r="F5" s="23" t="inlineStr">
        <is>
          <t>Discricionário — revisar mensalmente</t>
        </is>
      </c>
      <c r="G5" s="23" t="inlineStr">
        <is>
          <t>Definir limite trimestral</t>
        </is>
      </c>
      <c r="I5" s="7" t="n">
        <v>0</v>
      </c>
      <c r="J5" s="7" t="n">
        <v>0</v>
      </c>
      <c r="K5" s="7" t="n">
        <v>2451.48</v>
      </c>
      <c r="L5" s="7" t="n">
        <v>2725.81</v>
      </c>
      <c r="M5" s="7" t="n">
        <v>12166.12</v>
      </c>
      <c r="N5" s="7" t="n">
        <v>2629.34</v>
      </c>
      <c r="O5" s="7" t="n">
        <v>2667.420000000001</v>
      </c>
      <c r="P5" s="7" t="n">
        <v>703.62</v>
      </c>
    </row>
    <row r="6">
      <c r="A6" s="10" t="inlineStr">
        <is>
          <t>Outros</t>
        </is>
      </c>
      <c r="B6" s="12" t="n">
        <v>8830.009999999998</v>
      </c>
      <c r="C6" s="18" t="n">
        <v>0.01128873266221062</v>
      </c>
      <c r="D6" s="8" t="n">
        <v>11</v>
      </c>
      <c r="E6" s="12" t="n">
        <v>1103.75125</v>
      </c>
      <c r="F6" s="24" t="inlineStr">
        <is>
          <t>Classificar melhor</t>
        </is>
      </c>
      <c r="G6" s="24" t="inlineStr"/>
      <c r="I6" s="12" t="n">
        <v>0</v>
      </c>
      <c r="J6" s="12" t="n">
        <v>0</v>
      </c>
      <c r="K6" s="12" t="n">
        <v>0</v>
      </c>
      <c r="L6" s="12" t="n">
        <v>6282.36</v>
      </c>
      <c r="M6" s="12" t="n">
        <v>1094.64</v>
      </c>
      <c r="N6" s="12" t="n">
        <v>1378.58</v>
      </c>
      <c r="O6" s="12" t="n">
        <v>0</v>
      </c>
      <c r="P6" s="12" t="n">
        <v>74.43000000000001</v>
      </c>
    </row>
    <row r="7">
      <c r="A7" s="5" t="inlineStr">
        <is>
          <t>Essencial</t>
        </is>
      </c>
      <c r="B7" s="7" t="n">
        <v>2836.379999999999</v>
      </c>
      <c r="C7" s="17" t="n">
        <v>0.003626172059651231</v>
      </c>
      <c r="D7" s="3" t="n">
        <v>30</v>
      </c>
      <c r="E7" s="7" t="n">
        <v>354.5474999999999</v>
      </c>
      <c r="F7" s="23" t="inlineStr">
        <is>
          <t>Consumo básico — acompanhar</t>
        </is>
      </c>
      <c r="G7" s="23" t="inlineStr">
        <is>
          <t>Definir teto mensal</t>
        </is>
      </c>
      <c r="I7" s="7" t="n">
        <v>0</v>
      </c>
      <c r="J7" s="7" t="n">
        <v>0</v>
      </c>
      <c r="K7" s="7" t="n">
        <v>768.51</v>
      </c>
      <c r="L7" s="7" t="n">
        <v>235.52</v>
      </c>
      <c r="M7" s="7" t="n">
        <v>243.47</v>
      </c>
      <c r="N7" s="7" t="n">
        <v>611.8</v>
      </c>
      <c r="O7" s="7" t="n">
        <v>640.96</v>
      </c>
      <c r="P7" s="7" t="n">
        <v>336.1200000000001</v>
      </c>
    </row>
    <row r="8">
      <c r="A8" s="10" t="inlineStr">
        <is>
          <t>Administrativo</t>
        </is>
      </c>
      <c r="B8" s="12" t="n">
        <v>2235.58</v>
      </c>
      <c r="C8" s="18" t="n">
        <v>0.002858078865707381</v>
      </c>
      <c r="D8" s="8" t="n">
        <v>9</v>
      </c>
      <c r="E8" s="12" t="n">
        <v>279.4475</v>
      </c>
      <c r="F8" s="24" t="inlineStr">
        <is>
          <t>Outros gastos</t>
        </is>
      </c>
      <c r="G8" s="24" t="inlineStr"/>
      <c r="I8" s="12" t="n">
        <v>0</v>
      </c>
      <c r="J8" s="12" t="n">
        <v>0</v>
      </c>
      <c r="K8" s="12" t="n">
        <v>525.41</v>
      </c>
      <c r="L8" s="12" t="n">
        <v>272.21</v>
      </c>
      <c r="M8" s="12" t="n">
        <v>727.24</v>
      </c>
      <c r="N8" s="12" t="n">
        <v>710.72</v>
      </c>
      <c r="O8" s="12" t="n">
        <v>0</v>
      </c>
      <c r="P8" s="12" t="n">
        <v>0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4045"/>
    <outlinePr summaryBelow="1" summaryRight="1"/>
    <pageSetUpPr/>
  </sheetPr>
  <dimension ref="A1:F8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>
      <c r="A1" s="1" t="inlineStr">
        <is>
          <t>🎯  Orçamento vs Realizado – por Grupo · por Mês</t>
        </is>
      </c>
    </row>
    <row r="3">
      <c r="A3" s="25" t="inlineStr">
        <is>
          <t>📅  2024-08</t>
        </is>
      </c>
    </row>
    <row r="4">
      <c r="A4" s="2" t="inlineStr">
        <is>
          <t>Grupo</t>
        </is>
      </c>
      <c r="B4" s="2" t="inlineStr">
        <is>
          <t>Orçamento</t>
        </is>
      </c>
      <c r="C4" s="2" t="inlineStr">
        <is>
          <t>Realizado</t>
        </is>
      </c>
      <c r="D4" s="2" t="inlineStr">
        <is>
          <t>Diferença</t>
        </is>
      </c>
      <c r="E4" s="2" t="inlineStr">
        <is>
          <t>% Usado</t>
        </is>
      </c>
      <c r="F4" s="2" t="inlineStr">
        <is>
          <t>Status</t>
        </is>
      </c>
    </row>
    <row r="5">
      <c r="A5" s="5" t="inlineStr">
        <is>
          <t>Essencial</t>
        </is>
      </c>
      <c r="B5" s="7" t="n">
        <v>8000</v>
      </c>
      <c r="C5" s="7" t="n">
        <v>0</v>
      </c>
      <c r="D5" s="7" t="n">
        <v>8000</v>
      </c>
      <c r="E5" s="17" t="n">
        <v>0</v>
      </c>
      <c r="F5" s="15" t="inlineStr">
        <is>
          <t>✅ OK</t>
        </is>
      </c>
    </row>
    <row r="6">
      <c r="A6" s="10" t="inlineStr">
        <is>
          <t>Estilo de Vida</t>
        </is>
      </c>
      <c r="B6" s="12" t="n">
        <v>2500</v>
      </c>
      <c r="C6" s="12" t="n">
        <v>0</v>
      </c>
      <c r="D6" s="12" t="n">
        <v>2500</v>
      </c>
      <c r="E6" s="18" t="n">
        <v>0</v>
      </c>
      <c r="F6" s="16" t="inlineStr">
        <is>
          <t>✅ OK</t>
        </is>
      </c>
    </row>
    <row r="7">
      <c r="A7" s="5" t="inlineStr">
        <is>
          <t>Tecnologia/IA</t>
        </is>
      </c>
      <c r="B7" s="7" t="n">
        <v>1500</v>
      </c>
      <c r="C7" s="7" t="n">
        <v>0</v>
      </c>
      <c r="D7" s="7" t="n">
        <v>1500</v>
      </c>
      <c r="E7" s="17" t="n">
        <v>0</v>
      </c>
      <c r="F7" s="15" t="inlineStr">
        <is>
          <t>✅ OK</t>
        </is>
      </c>
    </row>
    <row r="8">
      <c r="A8" s="10" t="inlineStr">
        <is>
          <t>Financeiro</t>
        </is>
      </c>
      <c r="B8" s="12" t="n">
        <v>8000</v>
      </c>
      <c r="C8" s="12" t="n">
        <v>0</v>
      </c>
      <c r="D8" s="12" t="n">
        <v>8000</v>
      </c>
      <c r="E8" s="18" t="n">
        <v>0</v>
      </c>
      <c r="F8" s="16" t="inlineStr">
        <is>
          <t>✅ OK</t>
        </is>
      </c>
    </row>
    <row r="9">
      <c r="A9" s="5" t="inlineStr">
        <is>
          <t>Movimentação</t>
        </is>
      </c>
      <c r="B9" s="7" t="n">
        <v>5000</v>
      </c>
      <c r="C9" s="7" t="n">
        <v>0</v>
      </c>
      <c r="D9" s="7" t="n">
        <v>5000</v>
      </c>
      <c r="E9" s="17" t="n">
        <v>0</v>
      </c>
      <c r="F9" s="15" t="inlineStr">
        <is>
          <t>✅ OK</t>
        </is>
      </c>
    </row>
    <row r="10">
      <c r="A10" s="10" t="inlineStr">
        <is>
          <t>Administrativo</t>
        </is>
      </c>
      <c r="B10" s="12" t="n">
        <v>500</v>
      </c>
      <c r="C10" s="12" t="n">
        <v>0</v>
      </c>
      <c r="D10" s="12" t="n">
        <v>500</v>
      </c>
      <c r="E10" s="18" t="n">
        <v>0</v>
      </c>
      <c r="F10" s="16" t="inlineStr">
        <is>
          <t>✅ OK</t>
        </is>
      </c>
    </row>
    <row r="11">
      <c r="A11" s="5" t="inlineStr">
        <is>
          <t>Outros</t>
        </is>
      </c>
      <c r="B11" s="7" t="n">
        <v>300</v>
      </c>
      <c r="C11" s="7" t="n">
        <v>0</v>
      </c>
      <c r="D11" s="7" t="n">
        <v>300</v>
      </c>
      <c r="E11" s="17" t="n">
        <v>0</v>
      </c>
      <c r="F11" s="15" t="inlineStr">
        <is>
          <t>✅ OK</t>
        </is>
      </c>
    </row>
    <row r="12">
      <c r="A12" s="26" t="inlineStr">
        <is>
          <t>TOTAL</t>
        </is>
      </c>
      <c r="B12" s="20" t="n">
        <v>25800</v>
      </c>
      <c r="C12" s="20" t="n">
        <v>0</v>
      </c>
      <c r="D12" s="20" t="n">
        <v>25800</v>
      </c>
      <c r="E12" s="21" t="n">
        <v>0</v>
      </c>
      <c r="F12" s="22" t="inlineStr"/>
    </row>
    <row r="14">
      <c r="A14" s="25" t="inlineStr">
        <is>
          <t>📅  2024-11</t>
        </is>
      </c>
    </row>
    <row r="15">
      <c r="A15" s="2" t="inlineStr">
        <is>
          <t>Grupo</t>
        </is>
      </c>
      <c r="B15" s="2" t="inlineStr">
        <is>
          <t>Orçamento</t>
        </is>
      </c>
      <c r="C15" s="2" t="inlineStr">
        <is>
          <t>Realizado</t>
        </is>
      </c>
      <c r="D15" s="2" t="inlineStr">
        <is>
          <t>Diferença</t>
        </is>
      </c>
      <c r="E15" s="2" t="inlineStr">
        <is>
          <t>% Usado</t>
        </is>
      </c>
      <c r="F15" s="2" t="inlineStr">
        <is>
          <t>Status</t>
        </is>
      </c>
    </row>
    <row r="16">
      <c r="A16" s="10" t="inlineStr">
        <is>
          <t>Essencial</t>
        </is>
      </c>
      <c r="B16" s="12" t="n">
        <v>8000</v>
      </c>
      <c r="C16" s="12" t="n">
        <v>0</v>
      </c>
      <c r="D16" s="12" t="n">
        <v>8000</v>
      </c>
      <c r="E16" s="18" t="n">
        <v>0</v>
      </c>
      <c r="F16" s="16" t="inlineStr">
        <is>
          <t>✅ OK</t>
        </is>
      </c>
    </row>
    <row r="17">
      <c r="A17" s="5" t="inlineStr">
        <is>
          <t>Estilo de Vida</t>
        </is>
      </c>
      <c r="B17" s="7" t="n">
        <v>2500</v>
      </c>
      <c r="C17" s="7" t="n">
        <v>0</v>
      </c>
      <c r="D17" s="7" t="n">
        <v>2500</v>
      </c>
      <c r="E17" s="17" t="n">
        <v>0</v>
      </c>
      <c r="F17" s="15" t="inlineStr">
        <is>
          <t>✅ OK</t>
        </is>
      </c>
    </row>
    <row r="18">
      <c r="A18" s="10" t="inlineStr">
        <is>
          <t>Tecnologia/IA</t>
        </is>
      </c>
      <c r="B18" s="12" t="n">
        <v>1500</v>
      </c>
      <c r="C18" s="12" t="n">
        <v>0</v>
      </c>
      <c r="D18" s="12" t="n">
        <v>1500</v>
      </c>
      <c r="E18" s="18" t="n">
        <v>0</v>
      </c>
      <c r="F18" s="16" t="inlineStr">
        <is>
          <t>✅ OK</t>
        </is>
      </c>
    </row>
    <row r="19">
      <c r="A19" s="5" t="inlineStr">
        <is>
          <t>Financeiro</t>
        </is>
      </c>
      <c r="B19" s="7" t="n">
        <v>8000</v>
      </c>
      <c r="C19" s="7" t="n">
        <v>0</v>
      </c>
      <c r="D19" s="7" t="n">
        <v>8000</v>
      </c>
      <c r="E19" s="17" t="n">
        <v>0</v>
      </c>
      <c r="F19" s="15" t="inlineStr">
        <is>
          <t>✅ OK</t>
        </is>
      </c>
    </row>
    <row r="20">
      <c r="A20" s="10" t="inlineStr">
        <is>
          <t>Movimentação</t>
        </is>
      </c>
      <c r="B20" s="12" t="n">
        <v>5000</v>
      </c>
      <c r="C20" s="12" t="n">
        <v>0</v>
      </c>
      <c r="D20" s="12" t="n">
        <v>5000</v>
      </c>
      <c r="E20" s="18" t="n">
        <v>0</v>
      </c>
      <c r="F20" s="16" t="inlineStr">
        <is>
          <t>✅ OK</t>
        </is>
      </c>
    </row>
    <row r="21">
      <c r="A21" s="5" t="inlineStr">
        <is>
          <t>Administrativo</t>
        </is>
      </c>
      <c r="B21" s="7" t="n">
        <v>500</v>
      </c>
      <c r="C21" s="7" t="n">
        <v>0</v>
      </c>
      <c r="D21" s="7" t="n">
        <v>500</v>
      </c>
      <c r="E21" s="17" t="n">
        <v>0</v>
      </c>
      <c r="F21" s="15" t="inlineStr">
        <is>
          <t>✅ OK</t>
        </is>
      </c>
    </row>
    <row r="22">
      <c r="A22" s="10" t="inlineStr">
        <is>
          <t>Outros</t>
        </is>
      </c>
      <c r="B22" s="12" t="n">
        <v>300</v>
      </c>
      <c r="C22" s="12" t="n">
        <v>0</v>
      </c>
      <c r="D22" s="12" t="n">
        <v>300</v>
      </c>
      <c r="E22" s="18" t="n">
        <v>0</v>
      </c>
      <c r="F22" s="16" t="inlineStr">
        <is>
          <t>✅ OK</t>
        </is>
      </c>
    </row>
    <row r="23">
      <c r="A23" s="26" t="inlineStr">
        <is>
          <t>TOTAL</t>
        </is>
      </c>
      <c r="B23" s="20" t="n">
        <v>25800</v>
      </c>
      <c r="C23" s="20" t="n">
        <v>0</v>
      </c>
      <c r="D23" s="20" t="n">
        <v>25800</v>
      </c>
      <c r="E23" s="21" t="n">
        <v>0</v>
      </c>
      <c r="F23" s="22" t="inlineStr"/>
    </row>
    <row r="25">
      <c r="A25" s="25" t="inlineStr">
        <is>
          <t>📅  2026-01</t>
        </is>
      </c>
    </row>
    <row r="26">
      <c r="A26" s="2" t="inlineStr">
        <is>
          <t>Grupo</t>
        </is>
      </c>
      <c r="B26" s="2" t="inlineStr">
        <is>
          <t>Orçamento</t>
        </is>
      </c>
      <c r="C26" s="2" t="inlineStr">
        <is>
          <t>Realizado</t>
        </is>
      </c>
      <c r="D26" s="2" t="inlineStr">
        <is>
          <t>Diferença</t>
        </is>
      </c>
      <c r="E26" s="2" t="inlineStr">
        <is>
          <t>% Usado</t>
        </is>
      </c>
      <c r="F26" s="2" t="inlineStr">
        <is>
          <t>Status</t>
        </is>
      </c>
    </row>
    <row r="27">
      <c r="A27" s="5" t="inlineStr">
        <is>
          <t>Essencial</t>
        </is>
      </c>
      <c r="B27" s="7" t="n">
        <v>8000</v>
      </c>
      <c r="C27" s="7" t="n">
        <v>768.51</v>
      </c>
      <c r="D27" s="7" t="n">
        <v>7231.49</v>
      </c>
      <c r="E27" s="17" t="n">
        <v>0.09606375</v>
      </c>
      <c r="F27" s="15" t="inlineStr">
        <is>
          <t>✅ OK</t>
        </is>
      </c>
    </row>
    <row r="28">
      <c r="A28" s="10" t="inlineStr">
        <is>
          <t>Estilo de Vida</t>
        </is>
      </c>
      <c r="B28" s="12" t="n">
        <v>2500</v>
      </c>
      <c r="C28" s="12" t="n">
        <v>2451.48</v>
      </c>
      <c r="D28" s="12" t="n">
        <v>48.51999999999998</v>
      </c>
      <c r="E28" s="18" t="n">
        <v>0.980592</v>
      </c>
      <c r="F28" s="16" t="inlineStr">
        <is>
          <t>✅ OK</t>
        </is>
      </c>
    </row>
    <row r="29">
      <c r="A29" s="5" t="inlineStr">
        <is>
          <t>Tecnologia/IA</t>
        </is>
      </c>
      <c r="B29" s="7" t="n">
        <v>1500</v>
      </c>
      <c r="C29" s="7" t="n">
        <v>0</v>
      </c>
      <c r="D29" s="7" t="n">
        <v>1500</v>
      </c>
      <c r="E29" s="17" t="n">
        <v>0</v>
      </c>
      <c r="F29" s="15" t="inlineStr">
        <is>
          <t>✅ OK</t>
        </is>
      </c>
    </row>
    <row r="30">
      <c r="A30" s="27" t="inlineStr">
        <is>
          <t>Financeiro</t>
        </is>
      </c>
      <c r="B30" s="28" t="n">
        <v>8000</v>
      </c>
      <c r="C30" s="28" t="n">
        <v>31949.9</v>
      </c>
      <c r="D30" s="28" t="n">
        <v>-23949.9</v>
      </c>
      <c r="E30" s="29" t="n">
        <v>3.9937375</v>
      </c>
      <c r="F30" s="30" t="inlineStr">
        <is>
          <t>🚨 ESTOURADO</t>
        </is>
      </c>
    </row>
    <row r="31">
      <c r="A31" s="5" t="inlineStr">
        <is>
          <t>Movimentação</t>
        </is>
      </c>
      <c r="B31" s="7" t="n">
        <v>5000</v>
      </c>
      <c r="C31" s="7" t="n">
        <v>0</v>
      </c>
      <c r="D31" s="7" t="n">
        <v>5000</v>
      </c>
      <c r="E31" s="17" t="n">
        <v>0</v>
      </c>
      <c r="F31" s="15" t="inlineStr">
        <is>
          <t>✅ OK</t>
        </is>
      </c>
    </row>
    <row r="32">
      <c r="A32" s="27" t="inlineStr">
        <is>
          <t>Administrativo</t>
        </is>
      </c>
      <c r="B32" s="28" t="n">
        <v>500</v>
      </c>
      <c r="C32" s="28" t="n">
        <v>525.41</v>
      </c>
      <c r="D32" s="28" t="n">
        <v>-25.40999999999997</v>
      </c>
      <c r="E32" s="29" t="n">
        <v>1.05082</v>
      </c>
      <c r="F32" s="30" t="inlineStr">
        <is>
          <t>🚨 ESTOURADO</t>
        </is>
      </c>
    </row>
    <row r="33">
      <c r="A33" s="5" t="inlineStr">
        <is>
          <t>Outros</t>
        </is>
      </c>
      <c r="B33" s="7" t="n">
        <v>300</v>
      </c>
      <c r="C33" s="7" t="n">
        <v>0</v>
      </c>
      <c r="D33" s="7" t="n">
        <v>300</v>
      </c>
      <c r="E33" s="17" t="n">
        <v>0</v>
      </c>
      <c r="F33" s="15" t="inlineStr">
        <is>
          <t>✅ OK</t>
        </is>
      </c>
    </row>
    <row r="34">
      <c r="A34" s="26" t="inlineStr">
        <is>
          <t>TOTAL</t>
        </is>
      </c>
      <c r="B34" s="20" t="n">
        <v>25800</v>
      </c>
      <c r="C34" s="20" t="n">
        <v>35695.3</v>
      </c>
      <c r="D34" s="20" t="n">
        <v>-9895.300000000003</v>
      </c>
      <c r="E34" s="21" t="n">
        <v>1.383538759689923</v>
      </c>
      <c r="F34" s="22" t="inlineStr"/>
    </row>
    <row r="36">
      <c r="A36" s="25" t="inlineStr">
        <is>
          <t>📅  2026-02</t>
        </is>
      </c>
    </row>
    <row r="37">
      <c r="A37" s="2" t="inlineStr">
        <is>
          <t>Grupo</t>
        </is>
      </c>
      <c r="B37" s="2" t="inlineStr">
        <is>
          <t>Orçamento</t>
        </is>
      </c>
      <c r="C37" s="2" t="inlineStr">
        <is>
          <t>Realizado</t>
        </is>
      </c>
      <c r="D37" s="2" t="inlineStr">
        <is>
          <t>Diferença</t>
        </is>
      </c>
      <c r="E37" s="2" t="inlineStr">
        <is>
          <t>% Usado</t>
        </is>
      </c>
      <c r="F37" s="2" t="inlineStr">
        <is>
          <t>Status</t>
        </is>
      </c>
    </row>
    <row r="38">
      <c r="A38" s="10" t="inlineStr">
        <is>
          <t>Essencial</t>
        </is>
      </c>
      <c r="B38" s="12" t="n">
        <v>8000</v>
      </c>
      <c r="C38" s="12" t="n">
        <v>235.52</v>
      </c>
      <c r="D38" s="12" t="n">
        <v>7764.48</v>
      </c>
      <c r="E38" s="18" t="n">
        <v>0.02944</v>
      </c>
      <c r="F38" s="16" t="inlineStr">
        <is>
          <t>✅ OK</t>
        </is>
      </c>
    </row>
    <row r="39">
      <c r="A39" s="27" t="inlineStr">
        <is>
          <t>Estilo de Vida</t>
        </is>
      </c>
      <c r="B39" s="28" t="n">
        <v>2500</v>
      </c>
      <c r="C39" s="28" t="n">
        <v>2725.81</v>
      </c>
      <c r="D39" s="28" t="n">
        <v>-225.8099999999999</v>
      </c>
      <c r="E39" s="29" t="n">
        <v>1.090324</v>
      </c>
      <c r="F39" s="30" t="inlineStr">
        <is>
          <t>🚨 ESTOURADO</t>
        </is>
      </c>
    </row>
    <row r="40">
      <c r="A40" s="10" t="inlineStr">
        <is>
          <t>Tecnologia/IA</t>
        </is>
      </c>
      <c r="B40" s="12" t="n">
        <v>1500</v>
      </c>
      <c r="C40" s="12" t="n">
        <v>0</v>
      </c>
      <c r="D40" s="12" t="n">
        <v>1500</v>
      </c>
      <c r="E40" s="18" t="n">
        <v>0</v>
      </c>
      <c r="F40" s="16" t="inlineStr">
        <is>
          <t>✅ OK</t>
        </is>
      </c>
    </row>
    <row r="41">
      <c r="A41" s="27" t="inlineStr">
        <is>
          <t>Financeiro</t>
        </is>
      </c>
      <c r="B41" s="28" t="n">
        <v>8000</v>
      </c>
      <c r="C41" s="28" t="n">
        <v>31658.75</v>
      </c>
      <c r="D41" s="28" t="n">
        <v>-23658.75</v>
      </c>
      <c r="E41" s="29" t="n">
        <v>3.95734375</v>
      </c>
      <c r="F41" s="30" t="inlineStr">
        <is>
          <t>🚨 ESTOURADO</t>
        </is>
      </c>
    </row>
    <row r="42">
      <c r="A42" s="10" t="inlineStr">
        <is>
          <t>Movimentação</t>
        </is>
      </c>
      <c r="B42" s="12" t="n">
        <v>5000</v>
      </c>
      <c r="C42" s="12" t="n">
        <v>0</v>
      </c>
      <c r="D42" s="12" t="n">
        <v>5000</v>
      </c>
      <c r="E42" s="18" t="n">
        <v>0</v>
      </c>
      <c r="F42" s="16" t="inlineStr">
        <is>
          <t>✅ OK</t>
        </is>
      </c>
    </row>
    <row r="43">
      <c r="A43" s="5" t="inlineStr">
        <is>
          <t>Administrativo</t>
        </is>
      </c>
      <c r="B43" s="7" t="n">
        <v>500</v>
      </c>
      <c r="C43" s="7" t="n">
        <v>272.21</v>
      </c>
      <c r="D43" s="7" t="n">
        <v>227.79</v>
      </c>
      <c r="E43" s="17" t="n">
        <v>0.5444199999999999</v>
      </c>
      <c r="F43" s="15" t="inlineStr">
        <is>
          <t>✅ OK</t>
        </is>
      </c>
    </row>
    <row r="44">
      <c r="A44" s="27" t="inlineStr">
        <is>
          <t>Outros</t>
        </is>
      </c>
      <c r="B44" s="28" t="n">
        <v>300</v>
      </c>
      <c r="C44" s="28" t="n">
        <v>6282.36</v>
      </c>
      <c r="D44" s="28" t="n">
        <v>-5982.36</v>
      </c>
      <c r="E44" s="29" t="n">
        <v>20.9412</v>
      </c>
      <c r="F44" s="30" t="inlineStr">
        <is>
          <t>🚨 ESTOURADO</t>
        </is>
      </c>
    </row>
    <row r="45">
      <c r="A45" s="26" t="inlineStr">
        <is>
          <t>TOTAL</t>
        </is>
      </c>
      <c r="B45" s="20" t="n">
        <v>25800</v>
      </c>
      <c r="C45" s="20" t="n">
        <v>41174.65</v>
      </c>
      <c r="D45" s="20" t="n">
        <v>-15374.65</v>
      </c>
      <c r="E45" s="21" t="n">
        <v>1.595916666666667</v>
      </c>
      <c r="F45" s="22" t="inlineStr"/>
    </row>
    <row r="47">
      <c r="A47" s="25" t="inlineStr">
        <is>
          <t>📅  2026-03</t>
        </is>
      </c>
    </row>
    <row r="48">
      <c r="A48" s="2" t="inlineStr">
        <is>
          <t>Grupo</t>
        </is>
      </c>
      <c r="B48" s="2" t="inlineStr">
        <is>
          <t>Orçamento</t>
        </is>
      </c>
      <c r="C48" s="2" t="inlineStr">
        <is>
          <t>Realizado</t>
        </is>
      </c>
      <c r="D48" s="2" t="inlineStr">
        <is>
          <t>Diferença</t>
        </is>
      </c>
      <c r="E48" s="2" t="inlineStr">
        <is>
          <t>% Usado</t>
        </is>
      </c>
      <c r="F48" s="2" t="inlineStr">
        <is>
          <t>Status</t>
        </is>
      </c>
    </row>
    <row r="49">
      <c r="A49" s="5" t="inlineStr">
        <is>
          <t>Essencial</t>
        </is>
      </c>
      <c r="B49" s="7" t="n">
        <v>8000</v>
      </c>
      <c r="C49" s="7" t="n">
        <v>243.47</v>
      </c>
      <c r="D49" s="7" t="n">
        <v>7756.53</v>
      </c>
      <c r="E49" s="17" t="n">
        <v>0.03043375</v>
      </c>
      <c r="F49" s="15" t="inlineStr">
        <is>
          <t>✅ OK</t>
        </is>
      </c>
    </row>
    <row r="50">
      <c r="A50" s="27" t="inlineStr">
        <is>
          <t>Estilo de Vida</t>
        </is>
      </c>
      <c r="B50" s="28" t="n">
        <v>2500</v>
      </c>
      <c r="C50" s="28" t="n">
        <v>12166.12</v>
      </c>
      <c r="D50" s="28" t="n">
        <v>-9666.119999999997</v>
      </c>
      <c r="E50" s="29" t="n">
        <v>4.866447999999999</v>
      </c>
      <c r="F50" s="30" t="inlineStr">
        <is>
          <t>🚨 ESTOURADO</t>
        </is>
      </c>
    </row>
    <row r="51">
      <c r="A51" s="5" t="inlineStr">
        <is>
          <t>Tecnologia/IA</t>
        </is>
      </c>
      <c r="B51" s="7" t="n">
        <v>1500</v>
      </c>
      <c r="C51" s="7" t="n">
        <v>0</v>
      </c>
      <c r="D51" s="7" t="n">
        <v>1500</v>
      </c>
      <c r="E51" s="17" t="n">
        <v>0</v>
      </c>
      <c r="F51" s="15" t="inlineStr">
        <is>
          <t>✅ OK</t>
        </is>
      </c>
    </row>
    <row r="52">
      <c r="A52" s="27" t="inlineStr">
        <is>
          <t>Financeiro</t>
        </is>
      </c>
      <c r="B52" s="28" t="n">
        <v>8000</v>
      </c>
      <c r="C52" s="28" t="n">
        <v>47864.68</v>
      </c>
      <c r="D52" s="28" t="n">
        <v>-39864.68</v>
      </c>
      <c r="E52" s="29" t="n">
        <v>5.983085</v>
      </c>
      <c r="F52" s="30" t="inlineStr">
        <is>
          <t>🚨 ESTOURADO</t>
        </is>
      </c>
    </row>
    <row r="53">
      <c r="A53" s="27" t="inlineStr">
        <is>
          <t>Movimentação</t>
        </is>
      </c>
      <c r="B53" s="28" t="n">
        <v>5000</v>
      </c>
      <c r="C53" s="28" t="n">
        <v>11432.41</v>
      </c>
      <c r="D53" s="28" t="n">
        <v>-6432.41</v>
      </c>
      <c r="E53" s="29" t="n">
        <v>2.286482</v>
      </c>
      <c r="F53" s="30" t="inlineStr">
        <is>
          <t>🚨 ESTOURADO</t>
        </is>
      </c>
    </row>
    <row r="54">
      <c r="A54" s="27" t="inlineStr">
        <is>
          <t>Administrativo</t>
        </is>
      </c>
      <c r="B54" s="28" t="n">
        <v>500</v>
      </c>
      <c r="C54" s="28" t="n">
        <v>727.24</v>
      </c>
      <c r="D54" s="28" t="n">
        <v>-227.24</v>
      </c>
      <c r="E54" s="29" t="n">
        <v>1.45448</v>
      </c>
      <c r="F54" s="30" t="inlineStr">
        <is>
          <t>🚨 ESTOURADO</t>
        </is>
      </c>
    </row>
    <row r="55">
      <c r="A55" s="27" t="inlineStr">
        <is>
          <t>Outros</t>
        </is>
      </c>
      <c r="B55" s="28" t="n">
        <v>300</v>
      </c>
      <c r="C55" s="28" t="n">
        <v>1094.64</v>
      </c>
      <c r="D55" s="28" t="n">
        <v>-794.6399999999999</v>
      </c>
      <c r="E55" s="29" t="n">
        <v>3.6488</v>
      </c>
      <c r="F55" s="30" t="inlineStr">
        <is>
          <t>🚨 ESTOURADO</t>
        </is>
      </c>
    </row>
    <row r="56">
      <c r="A56" s="26" t="inlineStr">
        <is>
          <t>TOTAL</t>
        </is>
      </c>
      <c r="B56" s="20" t="n">
        <v>25800</v>
      </c>
      <c r="C56" s="20" t="n">
        <v>73528.56</v>
      </c>
      <c r="D56" s="20" t="n">
        <v>-47728.56</v>
      </c>
      <c r="E56" s="21" t="n">
        <v>2.849944186046511</v>
      </c>
      <c r="F56" s="22" t="inlineStr"/>
    </row>
    <row r="58">
      <c r="A58" s="25" t="inlineStr">
        <is>
          <t>📅  2026-04</t>
        </is>
      </c>
    </row>
    <row r="59">
      <c r="A59" s="2" t="inlineStr">
        <is>
          <t>Grupo</t>
        </is>
      </c>
      <c r="B59" s="2" t="inlineStr">
        <is>
          <t>Orçamento</t>
        </is>
      </c>
      <c r="C59" s="2" t="inlineStr">
        <is>
          <t>Realizado</t>
        </is>
      </c>
      <c r="D59" s="2" t="inlineStr">
        <is>
          <t>Diferença</t>
        </is>
      </c>
      <c r="E59" s="2" t="inlineStr">
        <is>
          <t>% Usado</t>
        </is>
      </c>
      <c r="F59" s="2" t="inlineStr">
        <is>
          <t>Status</t>
        </is>
      </c>
    </row>
    <row r="60">
      <c r="A60" s="10" t="inlineStr">
        <is>
          <t>Essencial</t>
        </is>
      </c>
      <c r="B60" s="12" t="n">
        <v>8000</v>
      </c>
      <c r="C60" s="12" t="n">
        <v>611.8</v>
      </c>
      <c r="D60" s="12" t="n">
        <v>7388.2</v>
      </c>
      <c r="E60" s="18" t="n">
        <v>0.07647499999999999</v>
      </c>
      <c r="F60" s="16" t="inlineStr">
        <is>
          <t>✅ OK</t>
        </is>
      </c>
    </row>
    <row r="61">
      <c r="A61" s="27" t="inlineStr">
        <is>
          <t>Estilo de Vida</t>
        </is>
      </c>
      <c r="B61" s="28" t="n">
        <v>2500</v>
      </c>
      <c r="C61" s="28" t="n">
        <v>2629.34</v>
      </c>
      <c r="D61" s="28" t="n">
        <v>-129.3400000000001</v>
      </c>
      <c r="E61" s="29" t="n">
        <v>1.051736</v>
      </c>
      <c r="F61" s="30" t="inlineStr">
        <is>
          <t>🚨 ESTOURADO</t>
        </is>
      </c>
    </row>
    <row r="62">
      <c r="A62" s="10" t="inlineStr">
        <is>
          <t>Tecnologia/IA</t>
        </is>
      </c>
      <c r="B62" s="12" t="n">
        <v>1500</v>
      </c>
      <c r="C62" s="12" t="n">
        <v>0</v>
      </c>
      <c r="D62" s="12" t="n">
        <v>1500</v>
      </c>
      <c r="E62" s="18" t="n">
        <v>0</v>
      </c>
      <c r="F62" s="16" t="inlineStr">
        <is>
          <t>✅ OK</t>
        </is>
      </c>
    </row>
    <row r="63">
      <c r="A63" s="27" t="inlineStr">
        <is>
          <t>Financeiro</t>
        </is>
      </c>
      <c r="B63" s="28" t="n">
        <v>8000</v>
      </c>
      <c r="C63" s="28" t="n">
        <v>15878.08</v>
      </c>
      <c r="D63" s="28" t="n">
        <v>-7878.08</v>
      </c>
      <c r="E63" s="29" t="n">
        <v>1.98476</v>
      </c>
      <c r="F63" s="30" t="inlineStr">
        <is>
          <t>🚨 ESTOURADO</t>
        </is>
      </c>
    </row>
    <row r="64">
      <c r="A64" s="27" t="inlineStr">
        <is>
          <t>Movimentação</t>
        </is>
      </c>
      <c r="B64" s="28" t="n">
        <v>5000</v>
      </c>
      <c r="C64" s="28" t="n">
        <v>10330</v>
      </c>
      <c r="D64" s="28" t="n">
        <v>-5330</v>
      </c>
      <c r="E64" s="29" t="n">
        <v>2.066</v>
      </c>
      <c r="F64" s="30" t="inlineStr">
        <is>
          <t>🚨 ESTOURADO</t>
        </is>
      </c>
    </row>
    <row r="65">
      <c r="A65" s="27" t="inlineStr">
        <is>
          <t>Administrativo</t>
        </is>
      </c>
      <c r="B65" s="28" t="n">
        <v>500</v>
      </c>
      <c r="C65" s="28" t="n">
        <v>710.72</v>
      </c>
      <c r="D65" s="28" t="n">
        <v>-210.72</v>
      </c>
      <c r="E65" s="29" t="n">
        <v>1.42144</v>
      </c>
      <c r="F65" s="30" t="inlineStr">
        <is>
          <t>🚨 ESTOURADO</t>
        </is>
      </c>
    </row>
    <row r="66">
      <c r="A66" s="27" t="inlineStr">
        <is>
          <t>Outros</t>
        </is>
      </c>
      <c r="B66" s="28" t="n">
        <v>300</v>
      </c>
      <c r="C66" s="28" t="n">
        <v>1378.58</v>
      </c>
      <c r="D66" s="28" t="n">
        <v>-1078.58</v>
      </c>
      <c r="E66" s="29" t="n">
        <v>4.595266666666666</v>
      </c>
      <c r="F66" s="30" t="inlineStr">
        <is>
          <t>🚨 ESTOURADO</t>
        </is>
      </c>
    </row>
    <row r="67">
      <c r="A67" s="26" t="inlineStr">
        <is>
          <t>TOTAL</t>
        </is>
      </c>
      <c r="B67" s="20" t="n">
        <v>25800</v>
      </c>
      <c r="C67" s="20" t="n">
        <v>31538.52</v>
      </c>
      <c r="D67" s="20" t="n">
        <v>-5738.520000000004</v>
      </c>
      <c r="E67" s="21" t="n">
        <v>1.222423255813954</v>
      </c>
      <c r="F67" s="22" t="inlineStr"/>
    </row>
    <row r="69">
      <c r="A69" s="25" t="inlineStr">
        <is>
          <t>📅  2026-05</t>
        </is>
      </c>
    </row>
    <row r="70">
      <c r="A70" s="2" t="inlineStr">
        <is>
          <t>Grupo</t>
        </is>
      </c>
      <c r="B70" s="2" t="inlineStr">
        <is>
          <t>Orçamento</t>
        </is>
      </c>
      <c r="C70" s="2" t="inlineStr">
        <is>
          <t>Realizado</t>
        </is>
      </c>
      <c r="D70" s="2" t="inlineStr">
        <is>
          <t>Diferença</t>
        </is>
      </c>
      <c r="E70" s="2" t="inlineStr">
        <is>
          <t>% Usado</t>
        </is>
      </c>
      <c r="F70" s="2" t="inlineStr">
        <is>
          <t>Status</t>
        </is>
      </c>
    </row>
    <row r="71">
      <c r="A71" s="5" t="inlineStr">
        <is>
          <t>Essencial</t>
        </is>
      </c>
      <c r="B71" s="7" t="n">
        <v>8000</v>
      </c>
      <c r="C71" s="7" t="n">
        <v>640.96</v>
      </c>
      <c r="D71" s="7" t="n">
        <v>7359.04</v>
      </c>
      <c r="E71" s="17" t="n">
        <v>0.08012000000000001</v>
      </c>
      <c r="F71" s="15" t="inlineStr">
        <is>
          <t>✅ OK</t>
        </is>
      </c>
    </row>
    <row r="72">
      <c r="A72" s="27" t="inlineStr">
        <is>
          <t>Estilo de Vida</t>
        </is>
      </c>
      <c r="B72" s="28" t="n">
        <v>2500</v>
      </c>
      <c r="C72" s="28" t="n">
        <v>2667.420000000001</v>
      </c>
      <c r="D72" s="28" t="n">
        <v>-167.4200000000005</v>
      </c>
      <c r="E72" s="29" t="n">
        <v>1.066968</v>
      </c>
      <c r="F72" s="30" t="inlineStr">
        <is>
          <t>🚨 ESTOURADO</t>
        </is>
      </c>
    </row>
    <row r="73">
      <c r="A73" s="5" t="inlineStr">
        <is>
          <t>Tecnologia/IA</t>
        </is>
      </c>
      <c r="B73" s="7" t="n">
        <v>1500</v>
      </c>
      <c r="C73" s="7" t="n">
        <v>0</v>
      </c>
      <c r="D73" s="7" t="n">
        <v>1500</v>
      </c>
      <c r="E73" s="17" t="n">
        <v>0</v>
      </c>
      <c r="F73" s="15" t="inlineStr">
        <is>
          <t>✅ OK</t>
        </is>
      </c>
    </row>
    <row r="74">
      <c r="A74" s="27" t="inlineStr">
        <is>
          <t>Financeiro</t>
        </is>
      </c>
      <c r="B74" s="28" t="n">
        <v>8000</v>
      </c>
      <c r="C74" s="28" t="n">
        <v>195934.86</v>
      </c>
      <c r="D74" s="28" t="n">
        <v>-187934.86</v>
      </c>
      <c r="E74" s="29" t="n">
        <v>24.4918575</v>
      </c>
      <c r="F74" s="30" t="inlineStr">
        <is>
          <t>🚨 ESTOURADO</t>
        </is>
      </c>
    </row>
    <row r="75">
      <c r="A75" s="27" t="inlineStr">
        <is>
          <t>Movimentação</t>
        </is>
      </c>
      <c r="B75" s="28" t="n">
        <v>5000</v>
      </c>
      <c r="C75" s="28" t="n">
        <v>69919.97</v>
      </c>
      <c r="D75" s="28" t="n">
        <v>-64919.97</v>
      </c>
      <c r="E75" s="29" t="n">
        <v>13.983994</v>
      </c>
      <c r="F75" s="30" t="inlineStr">
        <is>
          <t>🚨 ESTOURADO</t>
        </is>
      </c>
    </row>
    <row r="76">
      <c r="A76" s="10" t="inlineStr">
        <is>
          <t>Administrativo</t>
        </is>
      </c>
      <c r="B76" s="12" t="n">
        <v>500</v>
      </c>
      <c r="C76" s="12" t="n">
        <v>0</v>
      </c>
      <c r="D76" s="12" t="n">
        <v>500</v>
      </c>
      <c r="E76" s="18" t="n">
        <v>0</v>
      </c>
      <c r="F76" s="16" t="inlineStr">
        <is>
          <t>✅ OK</t>
        </is>
      </c>
    </row>
    <row r="77">
      <c r="A77" s="5" t="inlineStr">
        <is>
          <t>Outros</t>
        </is>
      </c>
      <c r="B77" s="7" t="n">
        <v>300</v>
      </c>
      <c r="C77" s="7" t="n">
        <v>0</v>
      </c>
      <c r="D77" s="7" t="n">
        <v>300</v>
      </c>
      <c r="E77" s="17" t="n">
        <v>0</v>
      </c>
      <c r="F77" s="15" t="inlineStr">
        <is>
          <t>✅ OK</t>
        </is>
      </c>
    </row>
    <row r="78">
      <c r="A78" s="26" t="inlineStr">
        <is>
          <t>TOTAL</t>
        </is>
      </c>
      <c r="B78" s="20" t="n">
        <v>25800</v>
      </c>
      <c r="C78" s="20" t="n">
        <v>269163.21</v>
      </c>
      <c r="D78" s="20" t="n">
        <v>-243363.21</v>
      </c>
      <c r="E78" s="21" t="n">
        <v>10.43268255813953</v>
      </c>
      <c r="F78" s="22" t="inlineStr"/>
    </row>
    <row r="80">
      <c r="A80" s="25" t="inlineStr">
        <is>
          <t>📅  2026-06</t>
        </is>
      </c>
    </row>
    <row r="81">
      <c r="A81" s="2" t="inlineStr">
        <is>
          <t>Grupo</t>
        </is>
      </c>
      <c r="B81" s="2" t="inlineStr">
        <is>
          <t>Orçamento</t>
        </is>
      </c>
      <c r="C81" s="2" t="inlineStr">
        <is>
          <t>Realizado</t>
        </is>
      </c>
      <c r="D81" s="2" t="inlineStr">
        <is>
          <t>Diferença</t>
        </is>
      </c>
      <c r="E81" s="2" t="inlineStr">
        <is>
          <t>% Usado</t>
        </is>
      </c>
      <c r="F81" s="2" t="inlineStr">
        <is>
          <t>Status</t>
        </is>
      </c>
    </row>
    <row r="82">
      <c r="A82" s="10" t="inlineStr">
        <is>
          <t>Essencial</t>
        </is>
      </c>
      <c r="B82" s="12" t="n">
        <v>8000</v>
      </c>
      <c r="C82" s="12" t="n">
        <v>336.1200000000001</v>
      </c>
      <c r="D82" s="12" t="n">
        <v>7663.88</v>
      </c>
      <c r="E82" s="18" t="n">
        <v>0.04201500000000001</v>
      </c>
      <c r="F82" s="16" t="inlineStr">
        <is>
          <t>✅ OK</t>
        </is>
      </c>
    </row>
    <row r="83">
      <c r="A83" s="5" t="inlineStr">
        <is>
          <t>Estilo de Vida</t>
        </is>
      </c>
      <c r="B83" s="7" t="n">
        <v>2500</v>
      </c>
      <c r="C83" s="7" t="n">
        <v>703.62</v>
      </c>
      <c r="D83" s="7" t="n">
        <v>1796.38</v>
      </c>
      <c r="E83" s="17" t="n">
        <v>0.281448</v>
      </c>
      <c r="F83" s="15" t="inlineStr">
        <is>
          <t>✅ OK</t>
        </is>
      </c>
    </row>
    <row r="84">
      <c r="A84" s="10" t="inlineStr">
        <is>
          <t>Tecnologia/IA</t>
        </is>
      </c>
      <c r="B84" s="12" t="n">
        <v>1500</v>
      </c>
      <c r="C84" s="12" t="n">
        <v>0</v>
      </c>
      <c r="D84" s="12" t="n">
        <v>1500</v>
      </c>
      <c r="E84" s="18" t="n">
        <v>0</v>
      </c>
      <c r="F84" s="16" t="inlineStr">
        <is>
          <t>✅ OK</t>
        </is>
      </c>
    </row>
    <row r="85">
      <c r="A85" s="27" t="inlineStr">
        <is>
          <t>Financeiro</t>
        </is>
      </c>
      <c r="B85" s="28" t="n">
        <v>8000</v>
      </c>
      <c r="C85" s="28" t="n">
        <v>329502.34</v>
      </c>
      <c r="D85" s="28" t="n">
        <v>-321502.34</v>
      </c>
      <c r="E85" s="29" t="n">
        <v>41.18779249999999</v>
      </c>
      <c r="F85" s="30" t="inlineStr">
        <is>
          <t>🚨 ESTOURADO</t>
        </is>
      </c>
    </row>
    <row r="86">
      <c r="A86" s="10" t="inlineStr">
        <is>
          <t>Movimentação</t>
        </is>
      </c>
      <c r="B86" s="12" t="n">
        <v>5000</v>
      </c>
      <c r="C86" s="12" t="n">
        <v>480</v>
      </c>
      <c r="D86" s="12" t="n">
        <v>4520</v>
      </c>
      <c r="E86" s="18" t="n">
        <v>0.096</v>
      </c>
      <c r="F86" s="16" t="inlineStr">
        <is>
          <t>✅ OK</t>
        </is>
      </c>
    </row>
    <row r="87">
      <c r="A87" s="5" t="inlineStr">
        <is>
          <t>Administrativo</t>
        </is>
      </c>
      <c r="B87" s="7" t="n">
        <v>500</v>
      </c>
      <c r="C87" s="7" t="n">
        <v>0</v>
      </c>
      <c r="D87" s="7" t="n">
        <v>500</v>
      </c>
      <c r="E87" s="17" t="n">
        <v>0</v>
      </c>
      <c r="F87" s="15" t="inlineStr">
        <is>
          <t>✅ OK</t>
        </is>
      </c>
    </row>
    <row r="88">
      <c r="A88" s="10" t="inlineStr">
        <is>
          <t>Outros</t>
        </is>
      </c>
      <c r="B88" s="12" t="n">
        <v>300</v>
      </c>
      <c r="C88" s="12" t="n">
        <v>74.43000000000001</v>
      </c>
      <c r="D88" s="12" t="n">
        <v>225.57</v>
      </c>
      <c r="E88" s="18" t="n">
        <v>0.2481</v>
      </c>
      <c r="F88" s="16" t="inlineStr">
        <is>
          <t>✅ OK</t>
        </is>
      </c>
    </row>
    <row r="89">
      <c r="A89" s="26" t="inlineStr">
        <is>
          <t>TOTAL</t>
        </is>
      </c>
      <c r="B89" s="20" t="n">
        <v>25800</v>
      </c>
      <c r="C89" s="20" t="n">
        <v>331096.51</v>
      </c>
      <c r="D89" s="20" t="n">
        <v>-305296.51</v>
      </c>
      <c r="E89" s="21" t="n">
        <v>12.8331980620155</v>
      </c>
      <c r="F89" s="22" t="inlineStr"/>
    </row>
  </sheetData>
  <mergeCells count="9">
    <mergeCell ref="A47:F47"/>
    <mergeCell ref="A36:F36"/>
    <mergeCell ref="A14:F14"/>
    <mergeCell ref="A1:F1"/>
    <mergeCell ref="A80:F80"/>
    <mergeCell ref="A58:F58"/>
    <mergeCell ref="A3:F3"/>
    <mergeCell ref="A69:F6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2A4A"/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2" customWidth="1" min="4" max="4"/>
    <col width="5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30" customHeight="1">
      <c r="A1" s="31" t="inlineStr">
        <is>
          <t>📊  FinanceAI Dashboard 2026  —  MP Faturas · Banco Inter · BCB Câmbio</t>
        </is>
      </c>
    </row>
    <row r="2" ht="6" customHeight="1"/>
    <row r="3">
      <c r="A3" s="2" t="inlineStr">
        <is>
          <t>💰 Receitas Totais</t>
        </is>
      </c>
      <c r="C3" s="2" t="inlineStr">
        <is>
          <t>💸 Despesas Totais</t>
        </is>
      </c>
      <c r="E3" s="2" t="inlineStr">
        <is>
          <t>🏦 Saldo Líquido</t>
        </is>
      </c>
      <c r="G3" s="2" t="inlineStr">
        <is>
          <t>🎯 Taxa de Poupança</t>
        </is>
      </c>
      <c r="I3" s="2" t="inlineStr">
        <is>
          <t>📋 Lançamentos</t>
        </is>
      </c>
    </row>
    <row r="4" ht="30" customHeight="1">
      <c r="A4" s="32" t="n">
        <v>756161.3199999999</v>
      </c>
      <c r="C4" s="32" t="n">
        <v>782196.75</v>
      </c>
      <c r="E4" s="33" t="n">
        <v>-26035.43000000005</v>
      </c>
      <c r="G4" s="34" t="n">
        <v>-0.03443105235798104</v>
      </c>
      <c r="I4" s="35" t="n">
        <v>207</v>
      </c>
    </row>
    <row r="5" ht="8" customHeight="1"/>
    <row r="7">
      <c r="A7" s="25" t="inlineStr">
        <is>
          <t>📅  P&amp;L Mensal</t>
        </is>
      </c>
    </row>
    <row r="8">
      <c r="A8" s="2" t="inlineStr">
        <is>
          <t>Mês</t>
        </is>
      </c>
      <c r="B8" s="2" t="inlineStr">
        <is>
          <t>Receitas</t>
        </is>
      </c>
      <c r="C8" s="2" t="inlineStr">
        <is>
          <t>Despesas</t>
        </is>
      </c>
      <c r="D8" s="2" t="inlineStr">
        <is>
          <t>Saldo</t>
        </is>
      </c>
      <c r="E8" s="2" t="inlineStr">
        <is>
          <t>% Poupança</t>
        </is>
      </c>
      <c r="F8" s="2" t="inlineStr">
        <is>
          <t>Lançamentos</t>
        </is>
      </c>
      <c r="G8" s="2" t="inlineStr">
        <is>
          <t>Maior Grupo</t>
        </is>
      </c>
    </row>
    <row r="9">
      <c r="A9" s="5" t="inlineStr">
        <is>
          <t>2024-08</t>
        </is>
      </c>
      <c r="B9" s="7" t="n">
        <v>17091.99</v>
      </c>
      <c r="C9" s="7" t="n">
        <v>0</v>
      </c>
      <c r="D9" s="6" t="n">
        <v>17091.99</v>
      </c>
      <c r="E9" s="17" t="n">
        <v>1</v>
      </c>
      <c r="F9" s="3" t="n">
        <v>2</v>
      </c>
      <c r="G9" s="5" t="inlineStr">
        <is>
          <t>Essencial</t>
        </is>
      </c>
    </row>
    <row r="10">
      <c r="A10" s="10" t="inlineStr">
        <is>
          <t>2024-11</t>
        </is>
      </c>
      <c r="B10" s="12" t="n">
        <v>10534.12</v>
      </c>
      <c r="C10" s="12" t="n">
        <v>0</v>
      </c>
      <c r="D10" s="11" t="n">
        <v>10534.12</v>
      </c>
      <c r="E10" s="18" t="n">
        <v>1</v>
      </c>
      <c r="F10" s="8" t="n">
        <v>1</v>
      </c>
      <c r="G10" s="10" t="inlineStr">
        <is>
          <t>Essencial</t>
        </is>
      </c>
    </row>
    <row r="11">
      <c r="A11" s="5" t="inlineStr">
        <is>
          <t>2026-01</t>
        </is>
      </c>
      <c r="B11" s="7" t="n">
        <v>1071.22</v>
      </c>
      <c r="C11" s="7" t="n">
        <v>35695.3</v>
      </c>
      <c r="D11" s="14" t="n">
        <v>-34624.08</v>
      </c>
      <c r="E11" s="17" t="n">
        <v>-32.32210003547358</v>
      </c>
      <c r="F11" s="3" t="n">
        <v>21</v>
      </c>
      <c r="G11" s="5" t="inlineStr">
        <is>
          <t>Financeiro</t>
        </is>
      </c>
    </row>
    <row r="12">
      <c r="A12" s="10" t="inlineStr">
        <is>
          <t>2026-02</t>
        </is>
      </c>
      <c r="B12" s="12" t="n">
        <v>40000</v>
      </c>
      <c r="C12" s="12" t="n">
        <v>41174.65</v>
      </c>
      <c r="D12" s="13" t="n">
        <v>-1174.650000000001</v>
      </c>
      <c r="E12" s="18" t="n">
        <v>-0.02936625000000003</v>
      </c>
      <c r="F12" s="8" t="n">
        <v>24</v>
      </c>
      <c r="G12" s="10" t="inlineStr">
        <is>
          <t>Financeiro</t>
        </is>
      </c>
    </row>
    <row r="13">
      <c r="A13" s="5" t="inlineStr">
        <is>
          <t>2026-03</t>
        </is>
      </c>
      <c r="B13" s="7" t="n">
        <v>0</v>
      </c>
      <c r="C13" s="7" t="n">
        <v>73528.56</v>
      </c>
      <c r="D13" s="14" t="n">
        <v>-73528.56</v>
      </c>
      <c r="E13" s="17" t="n">
        <v>0</v>
      </c>
      <c r="F13" s="3" t="n">
        <v>39</v>
      </c>
      <c r="G13" s="5" t="inlineStr">
        <is>
          <t>Financeiro</t>
        </is>
      </c>
    </row>
    <row r="14">
      <c r="A14" s="10" t="inlineStr">
        <is>
          <t>2026-04</t>
        </is>
      </c>
      <c r="B14" s="12" t="n">
        <v>40503.62</v>
      </c>
      <c r="C14" s="12" t="n">
        <v>31538.52</v>
      </c>
      <c r="D14" s="11" t="n">
        <v>8965.100000000002</v>
      </c>
      <c r="E14" s="18" t="n">
        <v>0.2213407097933469</v>
      </c>
      <c r="F14" s="8" t="n">
        <v>41</v>
      </c>
      <c r="G14" s="10" t="inlineStr">
        <is>
          <t>Financeiro</t>
        </is>
      </c>
    </row>
    <row r="15">
      <c r="A15" s="5" t="inlineStr">
        <is>
          <t>2026-05</t>
        </is>
      </c>
      <c r="B15" s="7" t="n">
        <v>317734.87</v>
      </c>
      <c r="C15" s="7" t="n">
        <v>269163.21</v>
      </c>
      <c r="D15" s="6" t="n">
        <v>48571.65999999997</v>
      </c>
      <c r="E15" s="17" t="n">
        <v>0.1528685221109033</v>
      </c>
      <c r="F15" s="3" t="n">
        <v>53</v>
      </c>
      <c r="G15" s="5" t="inlineStr">
        <is>
          <t>Financeiro</t>
        </is>
      </c>
    </row>
    <row r="16">
      <c r="A16" s="10" t="inlineStr">
        <is>
          <t>2026-06</t>
        </is>
      </c>
      <c r="B16" s="12" t="n">
        <v>329225.5</v>
      </c>
      <c r="C16" s="12" t="n">
        <v>331096.51</v>
      </c>
      <c r="D16" s="13" t="n">
        <v>-1871.010000000009</v>
      </c>
      <c r="E16" s="18" t="n">
        <v>-0.005683065254665903</v>
      </c>
      <c r="F16" s="8" t="n">
        <v>26</v>
      </c>
      <c r="G16" s="10" t="inlineStr">
        <is>
          <t>Financeiro</t>
        </is>
      </c>
    </row>
    <row r="19">
      <c r="A19" s="36" t="inlineStr">
        <is>
          <t>🚨  Alertas &amp; Insights Automáticos</t>
        </is>
      </c>
    </row>
    <row r="20">
      <c r="A20" s="2" t="inlineStr">
        <is>
          <t>Indicador</t>
        </is>
      </c>
      <c r="B20" s="2" t="inlineStr">
        <is>
          <t>Valor</t>
        </is>
      </c>
      <c r="C20" s="2" t="inlineStr">
        <is>
          <t>Referência</t>
        </is>
      </c>
      <c r="D20" s="2" t="inlineStr">
        <is>
          <t>Prioridade</t>
        </is>
      </c>
      <c r="E20" s="2" t="inlineStr">
        <is>
          <t>Recomendação</t>
        </is>
      </c>
      <c r="F20" s="2" t="inlineStr"/>
      <c r="G20" s="2" t="inlineStr"/>
      <c r="H20" s="2" t="inlineStr"/>
      <c r="I20" s="2" t="inlineStr"/>
      <c r="J20" s="2" t="inlineStr"/>
    </row>
    <row r="21">
      <c r="A21" s="37" t="inlineStr">
        <is>
          <t>Pior mês (saldo)</t>
        </is>
      </c>
      <c r="B21" s="38" t="n">
        <v>-73528.56</v>
      </c>
      <c r="C21" s="39" t="inlineStr">
        <is>
          <t>2026-03</t>
        </is>
      </c>
      <c r="D21" s="40" t="inlineStr">
        <is>
          <t>🔴 Alta</t>
        </is>
      </c>
      <c r="E21" s="41" t="inlineStr">
        <is>
          <t>Saldo negativo em 2026-03 — revisar grandes saídas</t>
        </is>
      </c>
    </row>
    <row r="22">
      <c r="A22" s="42" t="inlineStr">
        <is>
          <t>Maior grupo de despesa</t>
        </is>
      </c>
      <c r="B22" s="43" t="n">
        <v>652788.61</v>
      </c>
      <c r="C22" s="44" t="inlineStr">
        <is>
          <t>Financeiro</t>
        </is>
      </c>
      <c r="D22" s="45" t="inlineStr">
        <is>
          <t>🟡 Média</t>
        </is>
      </c>
      <c r="E22" s="46" t="inlineStr">
        <is>
          <t>Grupo dominante — acompanhar com orçamento dedicado</t>
        </is>
      </c>
    </row>
    <row r="23">
      <c r="A23" s="37" t="inlineStr">
        <is>
          <t>Estouro: Estilo de Vida em 2026-03</t>
        </is>
      </c>
      <c r="B23" s="47" t="n">
        <v>9666.119999999997</v>
      </c>
      <c r="C23" s="39" t="inlineStr">
        <is>
          <t>387% acima</t>
        </is>
      </c>
      <c r="D23" s="40" t="inlineStr">
        <is>
          <t>🔴 Alta</t>
        </is>
      </c>
      <c r="E23" s="41" t="inlineStr">
        <is>
          <t>Revisar Estilo de Vida — real R$12,166 vs orçado R$2,500</t>
        </is>
      </c>
    </row>
    <row r="24">
      <c r="A24" s="37" t="inlineStr">
        <is>
          <t>Estouro: Financeiro em 2026-01</t>
        </is>
      </c>
      <c r="B24" s="47" t="n">
        <v>23949.9</v>
      </c>
      <c r="C24" s="39" t="inlineStr">
        <is>
          <t>299% acima</t>
        </is>
      </c>
      <c r="D24" s="40" t="inlineStr">
        <is>
          <t>🔴 Alta</t>
        </is>
      </c>
      <c r="E24" s="41" t="inlineStr">
        <is>
          <t>Revisar Financeiro — real R$31,950 vs orçado R$8,000</t>
        </is>
      </c>
    </row>
    <row r="25">
      <c r="A25" s="37" t="inlineStr">
        <is>
          <t>Estouro: Financeiro em 2026-02</t>
        </is>
      </c>
      <c r="B25" s="47" t="n">
        <v>23658.75</v>
      </c>
      <c r="C25" s="39" t="inlineStr">
        <is>
          <t>296% acima</t>
        </is>
      </c>
      <c r="D25" s="40" t="inlineStr">
        <is>
          <t>🔴 Alta</t>
        </is>
      </c>
      <c r="E25" s="41" t="inlineStr">
        <is>
          <t>Revisar Financeiro — real R$31,659 vs orçado R$8,000</t>
        </is>
      </c>
    </row>
    <row r="26">
      <c r="A26" s="37" t="inlineStr">
        <is>
          <t>Estouro: Financeiro em 2026-03</t>
        </is>
      </c>
      <c r="B26" s="47" t="n">
        <v>39864.68</v>
      </c>
      <c r="C26" s="39" t="inlineStr">
        <is>
          <t>498% acima</t>
        </is>
      </c>
      <c r="D26" s="40" t="inlineStr">
        <is>
          <t>🔴 Alta</t>
        </is>
      </c>
      <c r="E26" s="41" t="inlineStr">
        <is>
          <t>Revisar Financeiro — real R$47,865 vs orçado R$8,000</t>
        </is>
      </c>
    </row>
    <row r="27">
      <c r="A27" s="37" t="inlineStr">
        <is>
          <t>Estouro: Financeiro em 2026-04</t>
        </is>
      </c>
      <c r="B27" s="47" t="n">
        <v>7878.08</v>
      </c>
      <c r="C27" s="39" t="inlineStr">
        <is>
          <t>98% acima</t>
        </is>
      </c>
      <c r="D27" s="40" t="inlineStr">
        <is>
          <t>🔴 Alta</t>
        </is>
      </c>
      <c r="E27" s="41" t="inlineStr">
        <is>
          <t>Revisar Financeiro — real R$15,878 vs orçado R$8,000</t>
        </is>
      </c>
    </row>
    <row r="28">
      <c r="A28" s="37" t="inlineStr">
        <is>
          <t>Estouro: Financeiro em 2026-05</t>
        </is>
      </c>
      <c r="B28" s="47" t="n">
        <v>187934.86</v>
      </c>
      <c r="C28" s="39" t="inlineStr">
        <is>
          <t>2349% acima</t>
        </is>
      </c>
      <c r="D28" s="40" t="inlineStr">
        <is>
          <t>🔴 Alta</t>
        </is>
      </c>
      <c r="E28" s="41" t="inlineStr">
        <is>
          <t>Revisar Financeiro — real R$195,935 vs orçado R$8,000</t>
        </is>
      </c>
    </row>
    <row r="29">
      <c r="A29" s="37" t="inlineStr">
        <is>
          <t>Estouro: Financeiro em 2026-06</t>
        </is>
      </c>
      <c r="B29" s="47" t="n">
        <v>321502.34</v>
      </c>
      <c r="C29" s="39" t="inlineStr">
        <is>
          <t>4019% acima</t>
        </is>
      </c>
      <c r="D29" s="40" t="inlineStr">
        <is>
          <t>🔴 Alta</t>
        </is>
      </c>
      <c r="E29" s="41" t="inlineStr">
        <is>
          <t>Revisar Financeiro — real R$329,502 vs orçado R$8,000</t>
        </is>
      </c>
    </row>
    <row r="30">
      <c r="A30" s="37" t="inlineStr">
        <is>
          <t>Estouro: Movimentação em 2026-03</t>
        </is>
      </c>
      <c r="B30" s="47" t="n">
        <v>6432.41</v>
      </c>
      <c r="C30" s="39" t="inlineStr">
        <is>
          <t>129% acima</t>
        </is>
      </c>
      <c r="D30" s="40" t="inlineStr">
        <is>
          <t>🔴 Alta</t>
        </is>
      </c>
      <c r="E30" s="41" t="inlineStr">
        <is>
          <t>Revisar Movimentação — real R$11,432 vs orçado R$5,000</t>
        </is>
      </c>
    </row>
    <row r="31">
      <c r="A31" s="37" t="inlineStr">
        <is>
          <t>Estouro: Movimentação em 2026-04</t>
        </is>
      </c>
      <c r="B31" s="47" t="n">
        <v>5330</v>
      </c>
      <c r="C31" s="39" t="inlineStr">
        <is>
          <t>107% acima</t>
        </is>
      </c>
      <c r="D31" s="40" t="inlineStr">
        <is>
          <t>🔴 Alta</t>
        </is>
      </c>
      <c r="E31" s="41" t="inlineStr">
        <is>
          <t>Revisar Movimentação — real R$10,330 vs orçado R$5,000</t>
        </is>
      </c>
    </row>
    <row r="32">
      <c r="A32" s="37" t="inlineStr">
        <is>
          <t>Estouro: Movimentação em 2026-05</t>
        </is>
      </c>
      <c r="B32" s="47" t="n">
        <v>64919.97</v>
      </c>
      <c r="C32" s="39" t="inlineStr">
        <is>
          <t>1298% acima</t>
        </is>
      </c>
      <c r="D32" s="40" t="inlineStr">
        <is>
          <t>🔴 Alta</t>
        </is>
      </c>
      <c r="E32" s="41" t="inlineStr">
        <is>
          <t>Revisar Movimentação — real R$69,920 vs orçado R$5,000</t>
        </is>
      </c>
    </row>
    <row r="33">
      <c r="A33" s="37" t="inlineStr">
        <is>
          <t>Estouro: Administrativo em 2026-03</t>
        </is>
      </c>
      <c r="B33" s="47" t="n">
        <v>227.24</v>
      </c>
      <c r="C33" s="39" t="inlineStr">
        <is>
          <t>45% acima</t>
        </is>
      </c>
      <c r="D33" s="40" t="inlineStr">
        <is>
          <t>🔴 Alta</t>
        </is>
      </c>
      <c r="E33" s="41" t="inlineStr">
        <is>
          <t>Revisar Administrativo — real R$727 vs orçado R$500</t>
        </is>
      </c>
    </row>
    <row r="34">
      <c r="A34" s="37" t="inlineStr">
        <is>
          <t>Estouro: Administrativo em 2026-04</t>
        </is>
      </c>
      <c r="B34" s="47" t="n">
        <v>210.72</v>
      </c>
      <c r="C34" s="39" t="inlineStr">
        <is>
          <t>42% acima</t>
        </is>
      </c>
      <c r="D34" s="40" t="inlineStr">
        <is>
          <t>🔴 Alta</t>
        </is>
      </c>
      <c r="E34" s="41" t="inlineStr">
        <is>
          <t>Revisar Administrativo — real R$711 vs orçado R$500</t>
        </is>
      </c>
    </row>
    <row r="35">
      <c r="A35" s="37" t="inlineStr">
        <is>
          <t>Estouro: Outros em 2026-02</t>
        </is>
      </c>
      <c r="B35" s="47" t="n">
        <v>5982.36</v>
      </c>
      <c r="C35" s="39" t="inlineStr">
        <is>
          <t>1994% acima</t>
        </is>
      </c>
      <c r="D35" s="40" t="inlineStr">
        <is>
          <t>🔴 Alta</t>
        </is>
      </c>
      <c r="E35" s="41" t="inlineStr">
        <is>
          <t>Revisar Outros — real R$6,282 vs orçado R$300</t>
        </is>
      </c>
    </row>
    <row r="36">
      <c r="A36" s="37" t="inlineStr">
        <is>
          <t>Estouro: Outros em 2026-03</t>
        </is>
      </c>
      <c r="B36" s="47" t="n">
        <v>794.6399999999999</v>
      </c>
      <c r="C36" s="39" t="inlineStr">
        <is>
          <t>265% acima</t>
        </is>
      </c>
      <c r="D36" s="40" t="inlineStr">
        <is>
          <t>🔴 Alta</t>
        </is>
      </c>
      <c r="E36" s="41" t="inlineStr">
        <is>
          <t>Revisar Outros — real R$1,095 vs orçado R$300</t>
        </is>
      </c>
    </row>
    <row r="37">
      <c r="A37" s="37" t="inlineStr">
        <is>
          <t>Estouro: Outros em 2026-04</t>
        </is>
      </c>
      <c r="B37" s="47" t="n">
        <v>1078.58</v>
      </c>
      <c r="C37" s="39" t="inlineStr">
        <is>
          <t>360% acima</t>
        </is>
      </c>
      <c r="D37" s="40" t="inlineStr">
        <is>
          <t>🔴 Alta</t>
        </is>
      </c>
      <c r="E37" s="41" t="inlineStr">
        <is>
          <t>Revisar Outros — real R$1,379 vs orçado R$300</t>
        </is>
      </c>
    </row>
    <row r="38">
      <c r="A38" s="37" t="inlineStr">
        <is>
          <t>Taxa de poupança baixa</t>
        </is>
      </c>
      <c r="B38" s="38" t="n">
        <v>-0.03443105235798104</v>
      </c>
      <c r="C38" s="39" t="inlineStr">
        <is>
          <t>Meta: 15%</t>
        </is>
      </c>
      <c r="D38" s="40" t="inlineStr">
        <is>
          <t>🔴 Alta</t>
        </is>
      </c>
      <c r="E38" s="41" t="inlineStr">
        <is>
          <t>Aumentar controle de despesas ou receita operacional</t>
        </is>
      </c>
    </row>
    <row r="39">
      <c r="A39" s="42" t="inlineStr">
        <is>
          <t>Concentração alta</t>
        </is>
      </c>
      <c r="B39" s="48" t="n">
        <v>0.8345580699485136</v>
      </c>
      <c r="C39" s="44" t="inlineStr">
        <is>
          <t>Financeiro</t>
        </is>
      </c>
      <c r="D39" s="45" t="inlineStr">
        <is>
          <t>🟡 Média</t>
        </is>
      </c>
      <c r="E39" s="46" t="inlineStr">
        <is>
          <t>Financeiro = 83% das despesas totais</t>
        </is>
      </c>
    </row>
  </sheetData>
  <mergeCells count="13">
    <mergeCell ref="A4:B4"/>
    <mergeCell ref="G4:H4"/>
    <mergeCell ref="A1:J1"/>
    <mergeCell ref="E4:F4"/>
    <mergeCell ref="I4:J4"/>
    <mergeCell ref="I3:J3"/>
    <mergeCell ref="A7:G7"/>
    <mergeCell ref="C3:D3"/>
    <mergeCell ref="A3:B3"/>
    <mergeCell ref="G3:H3"/>
    <mergeCell ref="E3:F3"/>
    <mergeCell ref="A19:J1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📖  Como Usar este Workbook — FinanceAI Tracker V2</t>
        </is>
      </c>
    </row>
    <row r="2">
      <c r="A2" s="49" t="inlineStr"/>
      <c r="B2" s="49" t="inlineStr"/>
      <c r="C2" s="50" t="inlineStr"/>
    </row>
    <row r="3">
      <c r="A3" s="51" t="inlineStr">
        <is>
          <t>🗂️  ESTRUTURA DO WORKBOOK</t>
        </is>
      </c>
      <c r="B3" s="51" t="inlineStr"/>
      <c r="C3" s="52" t="inlineStr"/>
    </row>
    <row r="4">
      <c r="A4" s="49" t="inlineStr"/>
      <c r="B4" s="53" t="inlineStr">
        <is>
          <t>Transacoes_Base</t>
        </is>
      </c>
      <c r="C4" s="50" t="inlineStr">
        <is>
          <t>Tabela mestre com todas as transações unificadas (MP · Inter · BCB). Use para filtrar, buscar e analisar qualquer transação.</t>
        </is>
      </c>
    </row>
    <row r="5">
      <c r="A5" s="49" t="inlineStr"/>
      <c r="B5" s="53" t="inlineStr">
        <is>
          <t>Categorias</t>
        </is>
      </c>
      <c r="C5" s="50" t="inlineStr">
        <is>
          <t>Mapa de categorias → grupos. Edite aqui para ajustar classificações.</t>
        </is>
      </c>
    </row>
    <row r="6">
      <c r="A6" s="49" t="inlineStr"/>
      <c r="B6" s="53" t="inlineStr">
        <is>
          <t>Resumo_Mensal</t>
        </is>
      </c>
      <c r="C6" s="50" t="inlineStr">
        <is>
          <t>P&amp;L por mês: receitas, despesas, saldo, taxa de poupança.</t>
        </is>
      </c>
    </row>
    <row r="7">
      <c r="A7" s="49" t="inlineStr"/>
      <c r="B7" s="53" t="inlineStr">
        <is>
          <t>Por_Grupo</t>
        </is>
      </c>
      <c r="C7" s="50" t="inlineStr">
        <is>
          <t>Despesas por grupo com breakdown mensal e orientações de leitura.</t>
        </is>
      </c>
    </row>
    <row r="8">
      <c r="A8" s="49" t="inlineStr"/>
      <c r="B8" s="53" t="inlineStr">
        <is>
          <t>Orcamento_Mensal</t>
        </is>
      </c>
      <c r="C8" s="50" t="inlineStr">
        <is>
          <t>Orçamento vs realizado, mês a mês, por grupo. Células vermelhas = estouro.</t>
        </is>
      </c>
    </row>
    <row r="9">
      <c r="A9" s="49" t="inlineStr"/>
      <c r="B9" s="53" t="inlineStr">
        <is>
          <t>📊 Dashboard</t>
        </is>
      </c>
      <c r="C9" s="50" t="inlineStr">
        <is>
          <t>Visão executiva: KPIs, P&amp;L mensal, alertas automáticos.</t>
        </is>
      </c>
    </row>
    <row r="10">
      <c r="A10" s="49" t="inlineStr"/>
      <c r="B10" s="49" t="inlineStr"/>
      <c r="C10" s="50" t="inlineStr"/>
    </row>
    <row r="11">
      <c r="A11" s="51" t="inlineStr">
        <is>
          <t>📥  COMO ATUALIZAR</t>
        </is>
      </c>
      <c r="B11" s="51" t="inlineStr"/>
      <c r="C11" s="52" t="inlineStr"/>
    </row>
    <row r="12">
      <c r="A12" s="49" t="inlineStr"/>
      <c r="B12" s="53" t="inlineStr">
        <is>
          <t>Passo 1</t>
        </is>
      </c>
      <c r="C12" s="50" t="inlineStr">
        <is>
          <t>Abra financas2026-DataEntry.xlsx e adicione novos lançamentos nas sheets originais.</t>
        </is>
      </c>
    </row>
    <row r="13">
      <c r="A13" s="49" t="inlineStr"/>
      <c r="B13" s="53" t="inlineStr">
        <is>
          <t>Passo 2</t>
        </is>
      </c>
      <c r="C13" s="50" t="inlineStr">
        <is>
          <t>Execute o script build_v2.py para gerar uma nova versão deste workbook.</t>
        </is>
      </c>
    </row>
    <row r="14">
      <c r="A14" s="49" t="inlineStr"/>
      <c r="B14" s="53" t="inlineStr">
        <is>
          <t>Passo 3</t>
        </is>
      </c>
      <c r="C14" s="50" t="inlineStr">
        <is>
          <t>Os alertas e resumos serão recalculados automaticamente.</t>
        </is>
      </c>
    </row>
    <row r="15">
      <c r="A15" s="49" t="inlineStr"/>
      <c r="B15" s="49" t="inlineStr"/>
      <c r="C15" s="50" t="inlineStr"/>
    </row>
    <row r="16">
      <c r="A16" s="51" t="inlineStr">
        <is>
          <t>🎯  ORÇAMENTOS MENSAIS</t>
        </is>
      </c>
      <c r="B16" s="51" t="inlineStr"/>
      <c r="C16" s="52" t="inlineStr"/>
    </row>
    <row r="17">
      <c r="A17" s="49" t="inlineStr"/>
      <c r="B17" s="53" t="inlineStr">
        <is>
          <t>Edite o dict BUDGET</t>
        </is>
      </c>
      <c r="C17" s="50" t="inlineStr">
        <is>
          <t>No arquivo build_v2.py, ajuste os valores em BUDGET para refletir suas metas.</t>
        </is>
      </c>
    </row>
    <row r="18">
      <c r="A18" s="49" t="inlineStr"/>
      <c r="B18" s="53" t="inlineStr">
        <is>
          <t>Alertas automáticos</t>
        </is>
      </c>
      <c r="C18" s="50" t="inlineStr">
        <is>
          <t>Qualquer grupo que ultrapasse o orçamento em &gt;10% aparece como alerta no Dashboard.</t>
        </is>
      </c>
    </row>
    <row r="19">
      <c r="A19" s="49" t="inlineStr"/>
      <c r="B19" s="49" t="inlineStr"/>
      <c r="C19" s="50" t="inlineStr"/>
    </row>
    <row r="20">
      <c r="A20" s="51" t="inlineStr">
        <is>
          <t>📌  NOTAS IMPORTANTES</t>
        </is>
      </c>
      <c r="B20" s="51" t="inlineStr"/>
      <c r="C20" s="52" t="inlineStr"/>
    </row>
    <row r="21">
      <c r="A21" s="49" t="inlineStr"/>
      <c r="B21" s="53" t="inlineStr">
        <is>
          <t>Fontes unificadas</t>
        </is>
      </c>
      <c r="C21" s="50" t="inlineStr">
        <is>
          <t>MP Faturas = cartão; Inter/Cash Bridge = PIX; BCB = câmbio internacional.</t>
        </is>
      </c>
    </row>
    <row r="22">
      <c r="A22" s="49" t="inlineStr"/>
      <c r="B22" s="53" t="inlineStr">
        <is>
          <t>Direção dos valores</t>
        </is>
      </c>
      <c r="C22" s="50" t="inlineStr">
        <is>
          <t>Despesas são negativas em Transacoes_Base. Receitas são positivas.</t>
        </is>
      </c>
    </row>
    <row r="23">
      <c r="A23" s="49" t="inlineStr"/>
      <c r="B23" s="53" t="inlineStr">
        <is>
          <t>FX / Remessa</t>
        </is>
      </c>
      <c r="C23" s="50" t="inlineStr">
        <is>
          <t>Câmbio ao exterior é classificado como grupo Financeiro — não é despesa de consumo.</t>
        </is>
      </c>
    </row>
    <row r="24">
      <c r="A24" s="49" t="inlineStr"/>
      <c r="B24" s="53" t="inlineStr">
        <is>
          <t>Tecnologia/IA</t>
        </is>
      </c>
      <c r="C24" s="50" t="inlineStr">
        <is>
          <t>Ver sheet 💳 Transactions para análise detalhada de overlap e decisões KEEP/CANCEL.</t>
        </is>
      </c>
    </row>
    <row r="25">
      <c r="A25" s="49" t="inlineStr"/>
      <c r="B25" s="49" t="inlineStr"/>
      <c r="C25" s="50" t="inlineStr"/>
    </row>
    <row r="26">
      <c r="A26" s="49" t="inlineStr"/>
      <c r="B26" s="53" t="inlineStr">
        <is>
          <t>Gerado por</t>
        </is>
      </c>
      <c r="C26" s="50" t="inlineStr">
        <is>
          <t>build_v2.py — 14/07/2026 04:34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Receitas</t>
        </is>
      </c>
      <c r="C1" t="inlineStr">
        <is>
          <t>Despesas</t>
        </is>
      </c>
      <c r="D1" t="inlineStr">
        <is>
          <t>Saldo</t>
        </is>
      </c>
      <c r="F1" t="inlineStr">
        <is>
          <t>Grupo</t>
        </is>
      </c>
      <c r="G1" t="inlineStr">
        <is>
          <t>Total (R$)</t>
        </is>
      </c>
      <c r="I1" t="inlineStr">
        <is>
          <t>Mês</t>
        </is>
      </c>
      <c r="J1" t="inlineStr">
        <is>
          <t>% Poupança</t>
        </is>
      </c>
      <c r="L1" t="inlineStr">
        <is>
          <t>Categoria</t>
        </is>
      </c>
      <c r="M1" t="inlineStr">
        <is>
          <t>Total (R$)</t>
        </is>
      </c>
      <c r="O1" t="inlineStr">
        <is>
          <t>Mês</t>
        </is>
      </c>
      <c r="P1" t="inlineStr">
        <is>
          <t>Essencial Real</t>
        </is>
      </c>
      <c r="Q1" t="inlineStr">
        <is>
          <t>Financeiro Real</t>
        </is>
      </c>
      <c r="R1" t="inlineStr">
        <is>
          <t>Essencial Orçado</t>
        </is>
      </c>
      <c r="S1" t="inlineStr">
        <is>
          <t>Financeiro Orçado</t>
        </is>
      </c>
    </row>
    <row r="2">
      <c r="A2" t="inlineStr">
        <is>
          <t>2024-08</t>
        </is>
      </c>
      <c r="B2" t="n">
        <v>17091.99</v>
      </c>
      <c r="C2" t="n">
        <v>0</v>
      </c>
      <c r="D2" t="n">
        <v>17091.99</v>
      </c>
      <c r="F2" t="inlineStr">
        <is>
          <t>Financeiro</t>
        </is>
      </c>
      <c r="G2" t="n">
        <v>652788.61</v>
      </c>
      <c r="I2" t="inlineStr">
        <is>
          <t>2024-08</t>
        </is>
      </c>
      <c r="J2" t="n">
        <v>1</v>
      </c>
      <c r="L2" t="inlineStr">
        <is>
          <t>FX / Remessa</t>
        </is>
      </c>
      <c r="M2" t="n">
        <v>652788.61</v>
      </c>
      <c r="O2" t="inlineStr">
        <is>
          <t>2024-08</t>
        </is>
      </c>
      <c r="P2" t="n">
        <v>0</v>
      </c>
      <c r="Q2" t="n">
        <v>0</v>
      </c>
      <c r="R2" t="n">
        <v>8000</v>
      </c>
      <c r="S2" t="n">
        <v>8000</v>
      </c>
    </row>
    <row r="3">
      <c r="A3" t="inlineStr">
        <is>
          <t>2024-11</t>
        </is>
      </c>
      <c r="B3" t="n">
        <v>10534.12</v>
      </c>
      <c r="C3" t="n">
        <v>0</v>
      </c>
      <c r="D3" t="n">
        <v>10534.12</v>
      </c>
      <c r="F3" t="inlineStr">
        <is>
          <t>Movimentação</t>
        </is>
      </c>
      <c r="G3" t="n">
        <v>92162.38</v>
      </c>
      <c r="I3" t="inlineStr">
        <is>
          <t>2024-11</t>
        </is>
      </c>
      <c r="J3" t="n">
        <v>1</v>
      </c>
      <c r="L3" t="inlineStr">
        <is>
          <t>Saída PIX</t>
        </is>
      </c>
      <c r="M3" t="n">
        <v>92162.38</v>
      </c>
      <c r="O3" t="inlineStr">
        <is>
          <t>2024-11</t>
        </is>
      </c>
      <c r="P3" t="n">
        <v>0</v>
      </c>
      <c r="Q3" t="n">
        <v>0</v>
      </c>
      <c r="R3" t="n">
        <v>8000</v>
      </c>
      <c r="S3" t="n">
        <v>8000</v>
      </c>
    </row>
    <row r="4">
      <c r="A4" t="inlineStr">
        <is>
          <t>2026-01</t>
        </is>
      </c>
      <c r="B4" t="n">
        <v>1071.22</v>
      </c>
      <c r="C4" t="n">
        <v>35695.3</v>
      </c>
      <c r="D4" t="n">
        <v>-34624.08</v>
      </c>
      <c r="F4" t="inlineStr">
        <is>
          <t>Estilo de Vida</t>
        </is>
      </c>
      <c r="G4" t="n">
        <v>23343.79</v>
      </c>
      <c r="I4" t="inlineStr">
        <is>
          <t>2026-01</t>
        </is>
      </c>
      <c r="J4" t="n">
        <v>-32.3221</v>
      </c>
      <c r="L4" t="inlineStr">
        <is>
          <t>Viagem/Lazer</t>
        </is>
      </c>
      <c r="M4" t="n">
        <v>9036.83</v>
      </c>
      <c r="O4" t="inlineStr">
        <is>
          <t>2026-01</t>
        </is>
      </c>
      <c r="P4" t="n">
        <v>768.51</v>
      </c>
      <c r="Q4" t="n">
        <v>31949.9</v>
      </c>
      <c r="R4" t="n">
        <v>8000</v>
      </c>
      <c r="S4" t="n">
        <v>8000</v>
      </c>
    </row>
    <row r="5">
      <c r="A5" t="inlineStr">
        <is>
          <t>2026-02</t>
        </is>
      </c>
      <c r="B5" t="n">
        <v>40000</v>
      </c>
      <c r="C5" t="n">
        <v>41174.65</v>
      </c>
      <c r="D5" t="n">
        <v>-1174.65</v>
      </c>
      <c r="F5" t="inlineStr">
        <is>
          <t>Outros</t>
        </is>
      </c>
      <c r="G5" t="n">
        <v>8830.01</v>
      </c>
      <c r="I5" t="inlineStr">
        <is>
          <t>2026-02</t>
        </is>
      </c>
      <c r="J5" t="n">
        <v>-0.0294</v>
      </c>
      <c r="L5" t="inlineStr">
        <is>
          <t>Compras/ML</t>
        </is>
      </c>
      <c r="M5" t="n">
        <v>8744.68</v>
      </c>
      <c r="O5" t="inlineStr">
        <is>
          <t>2026-02</t>
        </is>
      </c>
      <c r="P5" t="n">
        <v>235.52</v>
      </c>
      <c r="Q5" t="n">
        <v>31658.75</v>
      </c>
      <c r="R5" t="n">
        <v>8000</v>
      </c>
      <c r="S5" t="n">
        <v>8000</v>
      </c>
    </row>
    <row r="6">
      <c r="A6" t="inlineStr">
        <is>
          <t>2026-03</t>
        </is>
      </c>
      <c r="B6" t="n">
        <v>0</v>
      </c>
      <c r="C6" t="n">
        <v>73528.56</v>
      </c>
      <c r="D6" t="n">
        <v>-73528.56</v>
      </c>
      <c r="F6" t="inlineStr">
        <is>
          <t>Essencial</t>
        </is>
      </c>
      <c r="G6" t="n">
        <v>2836.38</v>
      </c>
      <c r="I6" t="inlineStr">
        <is>
          <t>2026-03</t>
        </is>
      </c>
      <c r="J6" t="n">
        <v>0</v>
      </c>
      <c r="L6" t="inlineStr">
        <is>
          <t>Tecnologia/IA</t>
        </is>
      </c>
      <c r="M6" t="n">
        <v>6624.36</v>
      </c>
      <c r="O6" t="inlineStr">
        <is>
          <t>2026-03</t>
        </is>
      </c>
      <c r="P6" t="n">
        <v>243.47</v>
      </c>
      <c r="Q6" t="n">
        <v>47864.68</v>
      </c>
      <c r="R6" t="n">
        <v>8000</v>
      </c>
      <c r="S6" t="n">
        <v>8000</v>
      </c>
    </row>
    <row r="7">
      <c r="A7" t="inlineStr">
        <is>
          <t>2026-04</t>
        </is>
      </c>
      <c r="B7" t="n">
        <v>40503.62</v>
      </c>
      <c r="C7" t="n">
        <v>31538.52</v>
      </c>
      <c r="D7" t="n">
        <v>8965.1</v>
      </c>
      <c r="F7" t="inlineStr">
        <is>
          <t>Administrativo</t>
        </is>
      </c>
      <c r="G7" t="n">
        <v>2235.58</v>
      </c>
      <c r="I7" t="inlineStr">
        <is>
          <t>2026-04</t>
        </is>
      </c>
      <c r="J7" t="n">
        <v>0.2213</v>
      </c>
      <c r="L7" t="inlineStr">
        <is>
          <t>Lazer</t>
        </is>
      </c>
      <c r="M7" t="n">
        <v>6455.1</v>
      </c>
      <c r="O7" t="inlineStr">
        <is>
          <t>2026-04</t>
        </is>
      </c>
      <c r="P7" t="n">
        <v>611.8</v>
      </c>
      <c r="Q7" t="n">
        <v>15878.08</v>
      </c>
      <c r="R7" t="n">
        <v>8000</v>
      </c>
      <c r="S7" t="n">
        <v>8000</v>
      </c>
    </row>
    <row r="8">
      <c r="A8" t="inlineStr">
        <is>
          <t>2026-05</t>
        </is>
      </c>
      <c r="B8" t="n">
        <v>317734.87</v>
      </c>
      <c r="C8" t="n">
        <v>269163.21</v>
      </c>
      <c r="D8" t="n">
        <v>48571.66</v>
      </c>
      <c r="I8" t="inlineStr">
        <is>
          <t>2026-05</t>
        </is>
      </c>
      <c r="J8" t="n">
        <v>0.1529</v>
      </c>
      <c r="O8" t="inlineStr">
        <is>
          <t>2026-05</t>
        </is>
      </c>
      <c r="P8" t="n">
        <v>640.96</v>
      </c>
      <c r="Q8" t="n">
        <v>195934.86</v>
      </c>
      <c r="R8" t="n">
        <v>8000</v>
      </c>
      <c r="S8" t="n">
        <v>8000</v>
      </c>
    </row>
    <row r="9">
      <c r="A9" t="inlineStr">
        <is>
          <t>2026-06</t>
        </is>
      </c>
      <c r="B9" t="n">
        <v>329225.5</v>
      </c>
      <c r="C9" t="n">
        <v>331096.51</v>
      </c>
      <c r="D9" t="n">
        <v>-1871.01</v>
      </c>
      <c r="I9" t="inlineStr">
        <is>
          <t>2026-06</t>
        </is>
      </c>
      <c r="J9" t="n">
        <v>-0.0057</v>
      </c>
      <c r="O9" t="inlineStr">
        <is>
          <t>2026-06</t>
        </is>
      </c>
      <c r="P9" t="n">
        <v>336.12</v>
      </c>
      <c r="Q9" t="n">
        <v>329502.34</v>
      </c>
      <c r="R9" t="n">
        <v>8000</v>
      </c>
      <c r="S9" t="n">
        <v>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7A96C"/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31" t="inlineStr">
        <is>
          <t>📈  FinanceAI — Dashboards &amp; Gráficos 2026</t>
        </is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2026-07-14T07:34:14Z</dcterms:created>
  <dcterms:modified xsi:type="dcterms:W3CDTF">2026-07-14T07:34:15Z</dcterms:modified>
</cp:coreProperties>
</file>