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COMMAND CENTER" sheetId="1" state="visible" r:id="rId1"/>
    <sheet name="CALC" sheetId="2" state="visible" r:id="rId2"/>
    <sheet name="01 NET WORTH" sheetId="3" state="visible" r:id="rId3"/>
    <sheet name="02 CAPITAL FLOWS" sheetId="4" state="visible" r:id="rId4"/>
    <sheet name="03 INTERNATIONAL" sheetId="5" state="visible" r:id="rId5"/>
    <sheet name="04 PORTFOLIO" sheetId="6" state="visible" r:id="rId6"/>
    <sheet name="05 LIFESTYLE" sheetId="7" state="visible" r:id="rId7"/>
    <sheet name="06 SUBSCRIPTION MGR" sheetId="8" state="visible" r:id="rId8"/>
    <sheet name="07 CASH BRIDGE" sheetId="9" state="visible" r:id="rId9"/>
    <sheet name="08 ALERTS" sheetId="10" state="visible" r:id="rId10"/>
    <sheet name="_DATA" sheetId="11" state="hidden" r:id="rId11"/>
    <sheet name="09 CHARTS" sheetId="12" state="visible" r:id="rId12"/>
  </sheets>
  <definedNames>
    <definedName name="_xlnm._FilterDatabase" localSheetId="3" hidden="1">'02 CAPITAL FLOWS'!$B$14:$I$221</definedName>
    <definedName name="_xlnm._FilterDatabase" localSheetId="4" hidden="1">'03 INTERNATIONAL'!$B$18:$J$53</definedName>
    <definedName name="_xlnm._FilterDatabase" localSheetId="6" hidden="1">'05 LIFESTYLE'!$B$33:$G$102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DD/MMM/YY"/>
    <numFmt numFmtId="166" formatCode="0.0%"/>
    <numFmt numFmtId="167" formatCode="R$ #,##0.00"/>
    <numFmt numFmtId="168" formatCode="+0.0%;-0.0%"/>
    <numFmt numFmtId="169" formatCode="0.0"/>
    <numFmt numFmtId="170" formatCode="R$ #,##0"/>
  </numFmts>
  <fonts count="61">
    <font>
      <name val="Calibri"/>
      <family val="2"/>
      <color theme="1"/>
      <sz val="11"/>
      <scheme val="minor"/>
    </font>
    <font>
      <name val="Calibri"/>
      <b val="1"/>
      <color rgb="00C9A84C"/>
      <sz val="15"/>
    </font>
    <font>
      <name val="Calibri"/>
      <color rgb="008B949E"/>
      <sz val="9"/>
    </font>
    <font>
      <name val="Calibri"/>
      <b val="1"/>
      <color rgb="00C9A84C"/>
      <sz val="11"/>
    </font>
    <font>
      <name val="Calibri"/>
      <color rgb="008B949E"/>
      <sz val="10"/>
    </font>
    <font>
      <name val="Calibri"/>
      <b val="1"/>
      <color rgb="00F0EAD6"/>
      <sz val="18"/>
    </font>
    <font>
      <name val="Calibri"/>
      <b val="1"/>
      <color rgb="008B949E"/>
      <sz val="9"/>
    </font>
    <font>
      <name val="Calibri"/>
      <color rgb="008B1A1A"/>
      <sz val="9"/>
    </font>
    <font>
      <name val="Calibri"/>
      <b val="1"/>
      <color rgb="008B1A1A"/>
      <sz val="9"/>
    </font>
    <font>
      <name val="Calibri"/>
      <color rgb="007B4800"/>
      <sz val="9"/>
    </font>
    <font>
      <name val="Calibri"/>
      <b val="1"/>
      <color rgb="007B4800"/>
      <sz val="9"/>
    </font>
    <font>
      <name val="Calibri"/>
      <color rgb="001A5C2E"/>
      <sz val="9"/>
    </font>
    <font>
      <name val="Calibri"/>
      <b val="1"/>
      <color rgb="001A5C2E"/>
      <sz val="9"/>
    </font>
    <font>
      <name val="Calibri"/>
      <b val="1"/>
      <color rgb="00C9A84C"/>
      <sz val="13"/>
    </font>
    <font>
      <name val="Calibri"/>
      <b val="1"/>
      <color rgb="008B949E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color rgb="008B1A1A"/>
      <sz val="10"/>
    </font>
    <font>
      <name val="Calibri"/>
      <b val="1"/>
      <color rgb="00C9A84C"/>
      <sz val="12"/>
    </font>
    <font>
      <name val="Calibri"/>
      <color rgb="00FFFFFF"/>
      <sz val="10"/>
    </font>
    <font>
      <name val="Calibri"/>
      <color rgb="00F0EAD6"/>
      <sz val="12"/>
    </font>
    <font>
      <name val="Calibri"/>
      <b val="1"/>
      <color rgb="00C9A84C"/>
      <sz val="10"/>
    </font>
    <font>
      <name val="Calibri"/>
      <b val="1"/>
      <color rgb="00C9A84C"/>
      <sz val="14"/>
    </font>
    <font>
      <name val="Calibri"/>
      <b val="1"/>
      <color rgb="008B1A1A"/>
      <sz val="10"/>
    </font>
    <font>
      <name val="Calibri"/>
      <b val="1"/>
      <color rgb="002D6A4F"/>
      <sz val="10"/>
    </font>
    <font>
      <name val="Calibri"/>
      <color rgb="00000000"/>
      <sz val="9"/>
    </font>
    <font>
      <name val="Calibri"/>
      <color rgb="002D6A4F"/>
      <sz val="9"/>
    </font>
    <font>
      <name val="Calibri"/>
      <color rgb="002D6A4F"/>
      <sz val="10"/>
    </font>
    <font>
      <name val="Calibri"/>
      <color rgb="00B5621B"/>
      <sz val="10"/>
    </font>
    <font>
      <name val="Calibri"/>
      <b val="1"/>
      <color rgb="00B5621B"/>
      <sz val="10"/>
    </font>
    <font>
      <name val="Calibri"/>
      <b val="1"/>
      <color rgb="002D6A4F"/>
      <sz val="18"/>
    </font>
    <font>
      <name val="Calibri"/>
      <b val="1"/>
      <color rgb="008B1A1A"/>
      <sz val="18"/>
    </font>
    <font>
      <name val="Calibri"/>
      <b val="1"/>
      <color rgb="00B5621B"/>
      <sz val="18"/>
    </font>
    <font>
      <name val="Calibri"/>
      <b val="1"/>
      <color rgb="00C9A84C"/>
      <sz val="18"/>
    </font>
    <font>
      <name val="Calibri"/>
      <b val="1"/>
      <color rgb="002D6A4F"/>
      <sz val="9"/>
    </font>
    <font>
      <name val="Arial"/>
      <b val="1"/>
      <color rgb="00FF6600"/>
      <sz val="11"/>
    </font>
    <font>
      <name val="Arial"/>
      <color rgb="00888888"/>
      <sz val="8"/>
    </font>
    <font>
      <name val="Arial"/>
      <b val="1"/>
      <color rgb="00FF6600"/>
      <sz val="10"/>
    </font>
    <font>
      <name val="Arial"/>
      <b val="1"/>
      <color rgb="00FFCC00"/>
      <sz val="9"/>
    </font>
    <font>
      <name val="Arial"/>
      <color rgb="00E8E8E8"/>
      <sz val="9"/>
    </font>
    <font>
      <name val="Arial"/>
      <b val="1"/>
      <color rgb="0000CC44"/>
      <sz val="9"/>
    </font>
    <font>
      <name val="Arial"/>
      <b val="1"/>
      <color rgb="00FF6600"/>
      <sz val="9"/>
    </font>
    <font>
      <name val="Arial"/>
      <b val="1"/>
      <color rgb="003399FF"/>
      <sz val="9"/>
    </font>
    <font>
      <name val="Arial"/>
      <b val="1"/>
      <color rgb="00FF4444"/>
      <sz val="9"/>
    </font>
    <font>
      <name val="Arial"/>
      <b val="1"/>
      <color rgb="0000CCCC"/>
      <sz val="9"/>
    </font>
    <font>
      <name val="Arial"/>
      <b val="1"/>
      <color rgb="00FF8800"/>
      <sz val="9"/>
    </font>
    <font>
      <name val="Arial"/>
      <i val="1"/>
      <color rgb="00888888"/>
      <sz val="8"/>
    </font>
    <font>
      <name val="Arial"/>
      <i val="1"/>
      <color rgb="00555555"/>
      <sz val="7"/>
    </font>
    <font>
      <name val="Arial"/>
      <color rgb="00FFCC00"/>
      <sz val="8"/>
    </font>
    <font>
      <name val="Arial"/>
      <color rgb="003399FF"/>
      <sz val="8"/>
    </font>
    <font>
      <name val="Arial"/>
      <b val="1"/>
      <color rgb="00FF6600"/>
      <sz val="13"/>
    </font>
    <font>
      <name val="Arial"/>
      <i val="1"/>
      <color rgb="00555555"/>
      <sz val="8"/>
    </font>
    <font>
      <name val="Arial"/>
      <b val="1"/>
      <color rgb="00FF6600"/>
      <sz val="12"/>
    </font>
    <font>
      <name val="Arial"/>
      <b val="1"/>
      <color rgb="00FFCC00"/>
      <sz val="12"/>
    </font>
    <font>
      <name val="Arial"/>
      <b val="1"/>
      <color rgb="0000CC44"/>
      <sz val="12"/>
    </font>
    <font>
      <name val="Arial"/>
      <b val="1"/>
      <color rgb="0000CCCC"/>
      <sz val="12"/>
    </font>
    <font>
      <name val="Arial"/>
      <b val="1"/>
      <color rgb="00FF4444"/>
      <sz val="12"/>
    </font>
    <font>
      <name val="Arial"/>
      <b val="1"/>
      <color rgb="003399FF"/>
      <sz val="12"/>
    </font>
    <font>
      <name val="Arial"/>
      <b val="1"/>
      <color rgb="00FF4444"/>
      <sz val="10"/>
    </font>
    <font>
      <name val="Arial"/>
      <b val="1"/>
      <color rgb="0000CC44"/>
      <sz val="10"/>
    </font>
  </fonts>
  <fills count="2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21262D"/>
      </patternFill>
    </fill>
    <fill>
      <patternFill patternType="solid">
        <fgColor rgb="00FDE8E8"/>
      </patternFill>
    </fill>
    <fill>
      <patternFill patternType="solid">
        <fgColor rgb="00FFF3CD"/>
      </patternFill>
    </fill>
    <fill>
      <patternFill patternType="solid">
        <fgColor rgb="00E6F4EA"/>
      </patternFill>
    </fill>
    <fill>
      <patternFill patternType="solid">
        <fgColor rgb="00FFFFFF"/>
      </patternFill>
    </fill>
    <fill>
      <patternFill patternType="solid">
        <fgColor rgb="00F6F8FA"/>
      </patternFill>
    </fill>
    <fill>
      <patternFill patternType="solid">
        <fgColor rgb="002D6A4F"/>
      </patternFill>
    </fill>
    <fill>
      <patternFill patternType="solid">
        <fgColor rgb="001A4A6B"/>
      </patternFill>
    </fill>
    <fill>
      <patternFill patternType="solid">
        <fgColor rgb="008B1A1A"/>
      </patternFill>
    </fill>
    <fill>
      <patternFill patternType="solid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D0D0D"/>
      </patternFill>
    </fill>
    <fill>
      <patternFill patternType="solid">
        <fgColor rgb="00111111"/>
      </patternFill>
    </fill>
    <fill>
      <patternFill patternType="solid">
        <fgColor rgb="00050505"/>
      </patternFill>
    </fill>
    <fill>
      <patternFill patternType="solid">
        <fgColor rgb="000A0A0A"/>
      </patternFill>
    </fill>
    <fill>
      <patternFill patternType="solid">
        <fgColor rgb="001A0A00"/>
      </patternFill>
    </fill>
    <fill>
      <patternFill patternType="solid">
        <fgColor rgb="001A1500"/>
      </patternFill>
    </fill>
    <fill>
      <patternFill patternType="solid">
        <fgColor rgb="00003311"/>
      </patternFill>
    </fill>
    <fill>
      <patternFill patternType="solid">
        <fgColor rgb="00001A1A"/>
      </patternFill>
    </fill>
    <fill>
      <patternFill patternType="solid">
        <fgColor rgb="001A0000"/>
      </patternFill>
    </fill>
    <fill>
      <patternFill patternType="solid">
        <fgColor rgb="00001A33"/>
      </patternFill>
    </fill>
    <fill>
      <patternFill patternType="solid">
        <fgColor rgb="00181818"/>
      </patternFill>
    </fill>
  </fills>
  <borders count="36">
    <border>
      <left/>
      <right/>
      <top/>
      <bottom/>
      <diagonal/>
    </border>
    <border>
      <left style="thin">
        <color rgb="000D1117"/>
      </left>
      <right style="thin">
        <color rgb="000D1117"/>
      </right>
      <top style="thin">
        <color rgb="000D1117"/>
      </top>
      <bottom style="thin">
        <color rgb="000D1117"/>
      </bottom>
    </border>
    <border>
      <left/>
      <right/>
      <top style="thin">
        <color rgb="000D1117"/>
      </top>
      <bottom/>
      <diagonal/>
    </border>
    <border>
      <left/>
      <right style="thin">
        <color rgb="000D1117"/>
      </right>
      <top style="thin">
        <color rgb="000D1117"/>
      </top>
      <bottom/>
      <diagonal/>
    </border>
    <border>
      <left/>
      <right/>
      <top style="thin">
        <color rgb="000D1117"/>
      </top>
      <bottom style="thin">
        <color rgb="000D1117"/>
      </bottom>
      <diagonal/>
    </border>
    <border>
      <left/>
      <right style="thin">
        <color rgb="000D1117"/>
      </right>
      <top style="thin">
        <color rgb="000D1117"/>
      </top>
      <bottom style="thin">
        <color rgb="000D1117"/>
      </bottom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  <border>
      <left/>
      <right/>
      <top style="thin">
        <color rgb="0021262D"/>
      </top>
      <bottom/>
      <diagonal/>
    </border>
    <border>
      <left/>
      <right style="thin">
        <color rgb="0021262D"/>
      </right>
      <top style="thin">
        <color rgb="0021262D"/>
      </top>
      <bottom/>
      <diagonal/>
    </border>
    <border>
      <left/>
      <right style="thin">
        <color rgb="0021262D"/>
      </right>
      <top style="thin">
        <color rgb="0021262D"/>
      </top>
      <bottom style="thin">
        <color rgb="0021262D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161B22"/>
      </left>
      <right style="thin">
        <color rgb="00161B22"/>
      </right>
      <top style="thin">
        <color rgb="00161B22"/>
      </top>
      <bottom style="thin">
        <color rgb="00161B22"/>
      </bottom>
    </border>
    <border>
      <left/>
      <right/>
      <top style="thin">
        <color rgb="00161B22"/>
      </top>
      <bottom/>
      <diagonal/>
    </border>
    <border>
      <left/>
      <right style="thin">
        <color rgb="00161B22"/>
      </right>
      <top style="thin">
        <color rgb="00161B22"/>
      </top>
      <bottom/>
      <diagonal/>
    </border>
    <border>
      <left/>
      <right/>
      <top style="thin">
        <color rgb="00161B22"/>
      </top>
      <bottom style="thin">
        <color rgb="00161B22"/>
      </bottom>
      <diagonal/>
    </border>
    <border>
      <left/>
      <right style="thin">
        <color rgb="00161B22"/>
      </right>
      <top style="thin">
        <color rgb="00161B22"/>
      </top>
      <bottom style="thin">
        <color rgb="00161B22"/>
      </bottom>
      <diagonal/>
    </border>
    <border>
      <left style="thin">
        <color rgb="002D6A4F"/>
      </left>
      <right style="thin">
        <color rgb="002D6A4F"/>
      </right>
      <top style="thin">
        <color rgb="002D6A4F"/>
      </top>
      <bottom style="thin">
        <color rgb="002D6A4F"/>
      </bottom>
    </border>
    <border>
      <left/>
      <right/>
      <top style="thin">
        <color rgb="002D6A4F"/>
      </top>
      <bottom/>
      <diagonal/>
    </border>
    <border>
      <left/>
      <right style="thin">
        <color rgb="002D6A4F"/>
      </right>
      <top style="thin">
        <color rgb="002D6A4F"/>
      </top>
      <bottom/>
      <diagonal/>
    </border>
    <border>
      <left/>
      <right/>
      <top style="thin">
        <color rgb="002D6A4F"/>
      </top>
      <bottom style="thin">
        <color rgb="002D6A4F"/>
      </bottom>
      <diagonal/>
    </border>
    <border>
      <left/>
      <right style="thin">
        <color rgb="002D6A4F"/>
      </right>
      <top style="thin">
        <color rgb="002D6A4F"/>
      </top>
      <bottom style="thin">
        <color rgb="002D6A4F"/>
      </bottom>
      <diagonal/>
    </border>
    <border>
      <left style="thin">
        <color rgb="001A4A6B"/>
      </left>
      <right style="thin">
        <color rgb="001A4A6B"/>
      </right>
      <top style="thin">
        <color rgb="001A4A6B"/>
      </top>
      <bottom style="thin">
        <color rgb="001A4A6B"/>
      </bottom>
    </border>
    <border>
      <left/>
      <right/>
      <top style="thin">
        <color rgb="001A4A6B"/>
      </top>
      <bottom/>
      <diagonal/>
    </border>
    <border>
      <left/>
      <right style="thin">
        <color rgb="001A4A6B"/>
      </right>
      <top style="thin">
        <color rgb="001A4A6B"/>
      </top>
      <bottom/>
      <diagonal/>
    </border>
    <border>
      <left/>
      <right/>
      <top style="thin">
        <color rgb="001A4A6B"/>
      </top>
      <bottom style="thin">
        <color rgb="001A4A6B"/>
      </bottom>
      <diagonal/>
    </border>
    <border>
      <left/>
      <right style="thin">
        <color rgb="001A4A6B"/>
      </right>
      <top style="thin">
        <color rgb="001A4A6B"/>
      </top>
      <bottom style="thin">
        <color rgb="001A4A6B"/>
      </bottom>
      <diagonal/>
    </border>
    <border>
      <left style="thin">
        <color rgb="008B1A1A"/>
      </left>
      <right style="thin">
        <color rgb="008B1A1A"/>
      </right>
      <top style="thin">
        <color rgb="008B1A1A"/>
      </top>
      <bottom style="thin">
        <color rgb="008B1A1A"/>
      </bottom>
    </border>
    <border>
      <left/>
      <right/>
      <top style="thin">
        <color rgb="008B1A1A"/>
      </top>
      <bottom/>
      <diagonal/>
    </border>
    <border>
      <left/>
      <right style="thin">
        <color rgb="008B1A1A"/>
      </right>
      <top style="thin">
        <color rgb="008B1A1A"/>
      </top>
      <bottom/>
      <diagonal/>
    </border>
    <border>
      <left/>
      <right/>
      <top style="thin">
        <color rgb="008B1A1A"/>
      </top>
      <bottom style="thin">
        <color rgb="008B1A1A"/>
      </bottom>
      <diagonal/>
    </border>
    <border>
      <left/>
      <right style="thin">
        <color rgb="008B1A1A"/>
      </right>
      <top style="thin">
        <color rgb="008B1A1A"/>
      </top>
      <bottom style="thin">
        <color rgb="008B1A1A"/>
      </bottom>
      <diagonal/>
    </border>
    <border>
      <left style="thin">
        <color rgb="002A2A2A"/>
      </left>
      <right style="thin">
        <color rgb="002A2A2A"/>
      </right>
      <top style="thin">
        <color rgb="002A2A2A"/>
      </top>
      <bottom style="thin">
        <color rgb="002A2A2A"/>
      </bottom>
    </border>
    <border>
      <left/>
      <right/>
      <top style="thin">
        <color rgb="002A2A2A"/>
      </top>
      <bottom/>
      <diagonal/>
    </border>
    <border>
      <left/>
      <right style="thin">
        <color rgb="002A2A2A"/>
      </right>
      <top style="thin">
        <color rgb="002A2A2A"/>
      </top>
      <bottom/>
      <diagonal/>
    </border>
    <border>
      <left/>
      <right/>
      <top style="thin">
        <color rgb="002A2A2A"/>
      </top>
      <bottom style="thin">
        <color rgb="002A2A2A"/>
      </bottom>
      <diagonal/>
    </border>
    <border>
      <left/>
      <right style="thin">
        <color rgb="002A2A2A"/>
      </right>
      <top style="thin">
        <color rgb="002A2A2A"/>
      </top>
      <bottom style="thin">
        <color rgb="002A2A2A"/>
      </bottom>
      <diagonal/>
    </border>
  </borders>
  <cellStyleXfs count="1">
    <xf numFmtId="0" fontId="0" fillId="0" borderId="0"/>
  </cellStyleXfs>
  <cellXfs count="3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6" applyAlignment="1" pivotButton="0" quotePrefix="0" xfId="0">
      <alignment horizontal="center" vertical="center"/>
    </xf>
    <xf numFmtId="0" fontId="0" fillId="0" borderId="9" pivotButton="0" quotePrefix="0" xfId="0"/>
    <xf numFmtId="4" fontId="5" fillId="4" borderId="6" applyAlignment="1" pivotButton="0" quotePrefix="0" xfId="0">
      <alignment horizontal="center" vertical="center"/>
    </xf>
    <xf numFmtId="3" fontId="5" fillId="4" borderId="6" applyAlignment="1" pivotButton="0" quotePrefix="0" xfId="0">
      <alignment horizontal="center" vertical="center"/>
    </xf>
    <xf numFmtId="164" fontId="5" fillId="4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/>
    </xf>
    <xf numFmtId="0" fontId="8" fillId="5" borderId="10" applyAlignment="1" pivotButton="0" quotePrefix="0" xfId="0">
      <alignment horizontal="center" vertical="center"/>
    </xf>
    <xf numFmtId="0" fontId="7" fillId="5" borderId="10" applyAlignment="1" pivotButton="0" quotePrefix="0" xfId="0">
      <alignment horizontal="left" vertical="center"/>
    </xf>
    <xf numFmtId="0" fontId="7" fillId="5" borderId="10" applyAlignment="1" pivotButton="0" quotePrefix="0" xfId="0">
      <alignment horizontal="left" vertical="center" wrapText="1"/>
    </xf>
    <xf numFmtId="4" fontId="7" fillId="5" borderId="10" applyAlignment="1" pivotButton="0" quotePrefix="0" xfId="0">
      <alignment horizontal="right" vertical="center"/>
    </xf>
    <xf numFmtId="0" fontId="9" fillId="6" borderId="10" applyAlignment="1" pivotButton="0" quotePrefix="0" xfId="0">
      <alignment horizontal="center" vertical="center"/>
    </xf>
    <xf numFmtId="0" fontId="10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horizontal="left" vertical="center"/>
    </xf>
    <xf numFmtId="0" fontId="9" fillId="6" borderId="10" applyAlignment="1" pivotButton="0" quotePrefix="0" xfId="0">
      <alignment horizontal="left" vertical="center" wrapText="1"/>
    </xf>
    <xf numFmtId="4" fontId="9" fillId="6" borderId="10" applyAlignment="1" pivotButton="0" quotePrefix="0" xfId="0">
      <alignment horizontal="right" vertical="center"/>
    </xf>
    <xf numFmtId="0" fontId="11" fillId="7" borderId="10" applyAlignment="1" pivotButton="0" quotePrefix="0" xfId="0">
      <alignment horizontal="center" vertical="center"/>
    </xf>
    <xf numFmtId="0" fontId="12" fillId="7" borderId="10" applyAlignment="1" pivotButton="0" quotePrefix="0" xfId="0">
      <alignment horizontal="center" vertical="center"/>
    </xf>
    <xf numFmtId="0" fontId="11" fillId="7" borderId="10" applyAlignment="1" pivotButton="0" quotePrefix="0" xfId="0">
      <alignment horizontal="left" vertical="center"/>
    </xf>
    <xf numFmtId="0" fontId="11" fillId="7" borderId="10" applyAlignment="1" pivotButton="0" quotePrefix="0" xfId="0">
      <alignment horizontal="left" vertical="center" wrapText="1"/>
    </xf>
    <xf numFmtId="4" fontId="11" fillId="7" borderId="10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14" fillId="3" borderId="11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15" fillId="8" borderId="10" applyAlignment="1" pivotButton="0" quotePrefix="0" xfId="0">
      <alignment horizontal="left" vertical="center"/>
    </xf>
    <xf numFmtId="0" fontId="16" fillId="8" borderId="10" applyAlignment="1" pivotButton="0" quotePrefix="0" xfId="0">
      <alignment horizontal="left" vertical="center"/>
    </xf>
    <xf numFmtId="4" fontId="16" fillId="8" borderId="10" applyAlignment="1" pivotButton="0" quotePrefix="0" xfId="0">
      <alignment horizontal="right" vertical="center"/>
    </xf>
    <xf numFmtId="0" fontId="15" fillId="9" borderId="10" applyAlignment="1" pivotButton="0" quotePrefix="0" xfId="0">
      <alignment horizontal="left" vertical="center"/>
    </xf>
    <xf numFmtId="0" fontId="16" fillId="9" borderId="10" applyAlignment="1" pivotButton="0" quotePrefix="0" xfId="0">
      <alignment horizontal="left" vertical="center"/>
    </xf>
    <xf numFmtId="4" fontId="16" fillId="9" borderId="10" applyAlignment="1" pivotButton="0" quotePrefix="0" xfId="0">
      <alignment horizontal="right" vertical="center"/>
    </xf>
    <xf numFmtId="0" fontId="17" fillId="10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4" fontId="18" fillId="9" borderId="10" applyAlignment="1" pivotButton="0" quotePrefix="0" xfId="0">
      <alignment horizontal="right" vertical="center"/>
    </xf>
    <xf numFmtId="0" fontId="17" fillId="11" borderId="21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165" fontId="16" fillId="9" borderId="10" applyAlignment="1" pivotButton="0" quotePrefix="0" xfId="0">
      <alignment horizontal="left" vertical="center"/>
    </xf>
    <xf numFmtId="3" fontId="16" fillId="9" borderId="10" applyAlignment="1" pivotButton="0" quotePrefix="0" xfId="0">
      <alignment horizontal="right" vertical="center"/>
    </xf>
    <xf numFmtId="164" fontId="16" fillId="9" borderId="10" applyAlignment="1" pivotButton="0" quotePrefix="0" xfId="0">
      <alignment horizontal="right" vertical="center"/>
    </xf>
    <xf numFmtId="165" fontId="16" fillId="8" borderId="10" applyAlignment="1" pivotButton="0" quotePrefix="0" xfId="0">
      <alignment horizontal="left" vertical="center"/>
    </xf>
    <xf numFmtId="3" fontId="16" fillId="8" borderId="10" applyAlignment="1" pivotButton="0" quotePrefix="0" xfId="0">
      <alignment horizontal="right" vertical="center"/>
    </xf>
    <xf numFmtId="164" fontId="16" fillId="8" borderId="10" applyAlignment="1" pivotButton="0" quotePrefix="0" xfId="0">
      <alignment horizontal="right" vertical="center"/>
    </xf>
    <xf numFmtId="0" fontId="17" fillId="12" borderId="26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30" pivotButton="0" quotePrefix="0" xfId="0"/>
    <xf numFmtId="0" fontId="19" fillId="2" borderId="1" applyAlignment="1" pivotButton="0" quotePrefix="0" xfId="0">
      <alignment horizontal="left" vertical="center"/>
    </xf>
    <xf numFmtId="0" fontId="4" fillId="3" borderId="6" applyAlignment="1" pivotButton="0" quotePrefix="0" xfId="0">
      <alignment horizontal="left" vertical="center"/>
    </xf>
    <xf numFmtId="0" fontId="20" fillId="3" borderId="6" applyAlignment="1" pivotButton="0" quotePrefix="0" xfId="0">
      <alignment horizontal="left" vertical="center"/>
    </xf>
    <xf numFmtId="4" fontId="21" fillId="3" borderId="6" applyAlignment="1" pivotButton="0" quotePrefix="0" xfId="0">
      <alignment horizontal="right" vertical="center"/>
    </xf>
    <xf numFmtId="0" fontId="22" fillId="2" borderId="6" applyAlignment="1" pivotButton="0" quotePrefix="0" xfId="0">
      <alignment horizontal="left" vertical="center"/>
    </xf>
    <xf numFmtId="0" fontId="17" fillId="2" borderId="6" applyAlignment="1" pivotButton="0" quotePrefix="0" xfId="0">
      <alignment horizontal="left" vertical="center"/>
    </xf>
    <xf numFmtId="4" fontId="23" fillId="2" borderId="6" applyAlignment="1" pivotButton="0" quotePrefix="0" xfId="0">
      <alignment horizontal="right" vertical="center"/>
    </xf>
    <xf numFmtId="0" fontId="16" fillId="8" borderId="10" applyAlignment="1" pivotButton="0" quotePrefix="0" xfId="0">
      <alignment horizontal="center" vertical="center"/>
    </xf>
    <xf numFmtId="4" fontId="24" fillId="8" borderId="10" applyAlignment="1" pivotButton="0" quotePrefix="0" xfId="0">
      <alignment horizontal="right" vertical="center"/>
    </xf>
    <xf numFmtId="0" fontId="16" fillId="9" borderId="10" applyAlignment="1" pivotButton="0" quotePrefix="0" xfId="0">
      <alignment horizontal="center" vertical="center"/>
    </xf>
    <xf numFmtId="4" fontId="25" fillId="9" borderId="10" applyAlignment="1" pivotButton="0" quotePrefix="0" xfId="0">
      <alignment horizontal="right" vertical="center"/>
    </xf>
    <xf numFmtId="4" fontId="25" fillId="8" borderId="10" applyAlignment="1" pivotButton="0" quotePrefix="0" xfId="0">
      <alignment horizontal="right" vertical="center"/>
    </xf>
    <xf numFmtId="165" fontId="26" fillId="8" borderId="10" applyAlignment="1" pivotButton="0" quotePrefix="0" xfId="0">
      <alignment horizontal="left" vertical="center"/>
    </xf>
    <xf numFmtId="0" fontId="26" fillId="8" borderId="10" applyAlignment="1" pivotButton="0" quotePrefix="0" xfId="0">
      <alignment horizontal="left" vertical="center"/>
    </xf>
    <xf numFmtId="4" fontId="27" fillId="8" borderId="10" applyAlignment="1" pivotButton="0" quotePrefix="0" xfId="0">
      <alignment horizontal="right" vertical="center"/>
    </xf>
    <xf numFmtId="164" fontId="26" fillId="8" borderId="10" applyAlignment="1" pivotButton="0" quotePrefix="0" xfId="0">
      <alignment horizontal="right" vertical="center"/>
    </xf>
    <xf numFmtId="165" fontId="26" fillId="9" borderId="10" applyAlignment="1" pivotButton="0" quotePrefix="0" xfId="0">
      <alignment horizontal="left" vertical="center"/>
    </xf>
    <xf numFmtId="0" fontId="26" fillId="9" borderId="10" applyAlignment="1" pivotButton="0" quotePrefix="0" xfId="0">
      <alignment horizontal="left" vertical="center"/>
    </xf>
    <xf numFmtId="4" fontId="27" fillId="9" borderId="10" applyAlignment="1" pivotButton="0" quotePrefix="0" xfId="0">
      <alignment horizontal="right" vertical="center"/>
    </xf>
    <xf numFmtId="164" fontId="26" fillId="9" borderId="10" applyAlignment="1" pivotButton="0" quotePrefix="0" xfId="0">
      <alignment horizontal="right" vertical="center"/>
    </xf>
    <xf numFmtId="4" fontId="7" fillId="9" borderId="10" applyAlignment="1" pivotButton="0" quotePrefix="0" xfId="0">
      <alignment horizontal="right" vertical="center"/>
    </xf>
    <xf numFmtId="4" fontId="7" fillId="8" borderId="10" applyAlignment="1" pivotButton="0" quotePrefix="0" xfId="0">
      <alignment horizontal="right" vertical="center"/>
    </xf>
    <xf numFmtId="166" fontId="16" fillId="8" borderId="10" applyAlignment="1" pivotButton="0" quotePrefix="0" xfId="0">
      <alignment horizontal="right" vertical="center"/>
    </xf>
    <xf numFmtId="166" fontId="16" fillId="9" borderId="10" applyAlignment="1" pivotButton="0" quotePrefix="0" xfId="0">
      <alignment horizontal="right" vertical="center"/>
    </xf>
    <xf numFmtId="0" fontId="16" fillId="8" borderId="10" applyAlignment="1" pivotButton="0" quotePrefix="0" xfId="0">
      <alignment horizontal="right" vertical="center"/>
    </xf>
    <xf numFmtId="0" fontId="16" fillId="9" borderId="10" applyAlignment="1" pivotButton="0" quotePrefix="0" xfId="0">
      <alignment horizontal="right" vertical="center"/>
    </xf>
    <xf numFmtId="4" fontId="26" fillId="8" borderId="10" applyAlignment="1" pivotButton="0" quotePrefix="0" xfId="0">
      <alignment horizontal="right" vertical="center"/>
    </xf>
    <xf numFmtId="4" fontId="26" fillId="9" borderId="10" applyAlignment="1" pivotButton="0" quotePrefix="0" xfId="0">
      <alignment horizontal="right" vertical="center"/>
    </xf>
    <xf numFmtId="0" fontId="26" fillId="9" borderId="10" applyAlignment="1" pivotButton="0" quotePrefix="0" xfId="0">
      <alignment horizontal="right" vertical="center"/>
    </xf>
    <xf numFmtId="0" fontId="26" fillId="8" borderId="10" applyAlignment="1" pivotButton="0" quotePrefix="0" xfId="0">
      <alignment horizontal="right" vertical="center"/>
    </xf>
    <xf numFmtId="0" fontId="15" fillId="5" borderId="10" applyAlignment="1" pivotButton="0" quotePrefix="0" xfId="0">
      <alignment horizontal="left" vertical="center"/>
    </xf>
    <xf numFmtId="4" fontId="16" fillId="5" borderId="10" applyAlignment="1" pivotButton="0" quotePrefix="0" xfId="0">
      <alignment horizontal="right" vertical="center"/>
    </xf>
    <xf numFmtId="166" fontId="16" fillId="5" borderId="10" applyAlignment="1" pivotButton="0" quotePrefix="0" xfId="0">
      <alignment horizontal="right" vertical="center"/>
    </xf>
    <xf numFmtId="3" fontId="16" fillId="5" borderId="10" applyAlignment="1" pivotButton="0" quotePrefix="0" xfId="0">
      <alignment horizontal="right" vertical="center"/>
    </xf>
    <xf numFmtId="0" fontId="16" fillId="5" borderId="10" applyAlignment="1" pivotButton="0" quotePrefix="0" xfId="0">
      <alignment horizontal="left" vertical="center"/>
    </xf>
    <xf numFmtId="4" fontId="28" fillId="9" borderId="10" applyAlignment="1" pivotButton="0" quotePrefix="0" xfId="0">
      <alignment horizontal="right" vertical="center"/>
    </xf>
    <xf numFmtId="4" fontId="18" fillId="8" borderId="10" applyAlignment="1" pivotButton="0" quotePrefix="0" xfId="0">
      <alignment horizontal="right" vertical="center"/>
    </xf>
    <xf numFmtId="4" fontId="28" fillId="8" borderId="10" applyAlignment="1" pivotButton="0" quotePrefix="0" xfId="0">
      <alignment horizontal="right" vertical="center"/>
    </xf>
    <xf numFmtId="0" fontId="29" fillId="6" borderId="10" applyAlignment="1" pivotButton="0" quotePrefix="0" xfId="0">
      <alignment horizontal="left" vertical="center"/>
    </xf>
    <xf numFmtId="0" fontId="29" fillId="6" borderId="10" applyAlignment="1" pivotButton="0" quotePrefix="0" xfId="0">
      <alignment horizontal="right" vertical="center"/>
    </xf>
    <xf numFmtId="0" fontId="30" fillId="6" borderId="10" applyAlignment="1" pivotButton="0" quotePrefix="0" xfId="0">
      <alignment horizontal="center" vertical="center"/>
    </xf>
    <xf numFmtId="4" fontId="31" fillId="4" borderId="6" applyAlignment="1" pivotButton="0" quotePrefix="0" xfId="0">
      <alignment horizontal="center" vertical="center"/>
    </xf>
    <xf numFmtId="4" fontId="32" fillId="4" borderId="6" applyAlignment="1" pivotButton="0" quotePrefix="0" xfId="0">
      <alignment horizontal="center" vertical="center"/>
    </xf>
    <xf numFmtId="4" fontId="33" fillId="4" borderId="6" applyAlignment="1" pivotButton="0" quotePrefix="0" xfId="0">
      <alignment horizontal="center" vertical="center"/>
    </xf>
    <xf numFmtId="4" fontId="34" fillId="4" borderId="6" applyAlignment="1" pivotButton="0" quotePrefix="0" xfId="0">
      <alignment horizontal="center" vertical="center"/>
    </xf>
    <xf numFmtId="0" fontId="26" fillId="7" borderId="10" applyAlignment="1" pivotButton="0" quotePrefix="0" xfId="0">
      <alignment horizontal="center" vertical="center"/>
    </xf>
    <xf numFmtId="0" fontId="35" fillId="7" borderId="10" applyAlignment="1" pivotButton="0" quotePrefix="0" xfId="0">
      <alignment horizontal="center" vertical="center"/>
    </xf>
    <xf numFmtId="0" fontId="35" fillId="7" borderId="10" applyAlignment="1" pivotButton="0" quotePrefix="0" xfId="0">
      <alignment horizontal="left" vertical="center"/>
    </xf>
    <xf numFmtId="0" fontId="26" fillId="7" borderId="10" applyAlignment="1" pivotButton="0" quotePrefix="0" xfId="0">
      <alignment horizontal="left" vertical="center" wrapText="1"/>
    </xf>
    <xf numFmtId="0" fontId="26" fillId="7" borderId="10" applyAlignment="1" pivotButton="0" quotePrefix="0" xfId="0">
      <alignment horizontal="right" vertical="center"/>
    </xf>
    <xf numFmtId="4" fontId="26" fillId="7" borderId="10" applyAlignment="1" pivotButton="0" quotePrefix="0" xfId="0">
      <alignment horizontal="right" vertical="center"/>
    </xf>
    <xf numFmtId="0" fontId="36" fillId="13" borderId="0" pivotButton="0" quotePrefix="0" xfId="0"/>
    <xf numFmtId="0" fontId="37" fillId="13" borderId="0" pivotButton="0" quotePrefix="0" xfId="0"/>
    <xf numFmtId="0" fontId="38" fillId="14" borderId="31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5" pivotButton="0" quotePrefix="0" xfId="0"/>
    <xf numFmtId="0" fontId="39" fillId="15" borderId="31" applyAlignment="1" pivotButton="0" quotePrefix="0" xfId="0">
      <alignment horizontal="left" vertical="center"/>
    </xf>
    <xf numFmtId="0" fontId="40" fillId="16" borderId="31" applyAlignment="1" pivotButton="0" quotePrefix="0" xfId="0">
      <alignment horizontal="left" vertical="center"/>
    </xf>
    <xf numFmtId="167" fontId="41" fillId="16" borderId="31" applyAlignment="1" pivotButton="0" quotePrefix="0" xfId="0">
      <alignment horizontal="right" vertical="center"/>
    </xf>
    <xf numFmtId="167" fontId="40" fillId="16" borderId="31" applyAlignment="1" pivotButton="0" quotePrefix="0" xfId="0">
      <alignment horizontal="right" vertical="center"/>
    </xf>
    <xf numFmtId="0" fontId="40" fillId="16" borderId="31" applyAlignment="1" pivotButton="0" quotePrefix="0" xfId="0">
      <alignment horizontal="center" vertical="center"/>
    </xf>
    <xf numFmtId="0" fontId="41" fillId="16" borderId="31" applyAlignment="1" pivotButton="0" quotePrefix="0" xfId="0">
      <alignment horizontal="center" vertical="center"/>
    </xf>
    <xf numFmtId="0" fontId="40" fillId="17" borderId="31" applyAlignment="1" pivotButton="0" quotePrefix="0" xfId="0">
      <alignment horizontal="left" vertical="center"/>
    </xf>
    <xf numFmtId="167" fontId="41" fillId="17" borderId="31" applyAlignment="1" pivotButton="0" quotePrefix="0" xfId="0">
      <alignment horizontal="right" vertical="center"/>
    </xf>
    <xf numFmtId="167" fontId="40" fillId="17" borderId="31" applyAlignment="1" pivotButton="0" quotePrefix="0" xfId="0">
      <alignment horizontal="right" vertical="center"/>
    </xf>
    <xf numFmtId="0" fontId="40" fillId="17" borderId="31" applyAlignment="1" pivotButton="0" quotePrefix="0" xfId="0">
      <alignment horizontal="center" vertical="center"/>
    </xf>
    <xf numFmtId="0" fontId="41" fillId="17" borderId="31" applyAlignment="1" pivotButton="0" quotePrefix="0" xfId="0">
      <alignment horizontal="center" vertical="center"/>
    </xf>
    <xf numFmtId="0" fontId="42" fillId="15" borderId="31" applyAlignment="1" pivotButton="0" quotePrefix="0" xfId="0">
      <alignment horizontal="left" vertical="center"/>
    </xf>
    <xf numFmtId="167" fontId="42" fillId="15" borderId="31" applyAlignment="1" pivotButton="0" quotePrefix="0" xfId="0">
      <alignment horizontal="right" vertical="center"/>
    </xf>
    <xf numFmtId="4" fontId="41" fillId="16" borderId="31" applyAlignment="1" pivotButton="0" quotePrefix="0" xfId="0">
      <alignment horizontal="right" vertical="center"/>
    </xf>
    <xf numFmtId="164" fontId="43" fillId="16" borderId="31" applyAlignment="1" pivotButton="0" quotePrefix="0" xfId="0">
      <alignment horizontal="right" vertical="center"/>
    </xf>
    <xf numFmtId="4" fontId="44" fillId="17" borderId="31" applyAlignment="1" pivotButton="0" quotePrefix="0" xfId="0">
      <alignment horizontal="right" vertical="center"/>
    </xf>
    <xf numFmtId="167" fontId="44" fillId="17" borderId="31" applyAlignment="1" pivotButton="0" quotePrefix="0" xfId="0">
      <alignment horizontal="right" vertical="center"/>
    </xf>
    <xf numFmtId="0" fontId="44" fillId="17" borderId="31" applyAlignment="1" pivotButton="0" quotePrefix="0" xfId="0">
      <alignment horizontal="center" vertical="center"/>
    </xf>
    <xf numFmtId="164" fontId="43" fillId="17" borderId="31" applyAlignment="1" pivotButton="0" quotePrefix="0" xfId="0">
      <alignment horizontal="right" vertical="center"/>
    </xf>
    <xf numFmtId="4" fontId="44" fillId="16" borderId="31" applyAlignment="1" pivotButton="0" quotePrefix="0" xfId="0">
      <alignment horizontal="right" vertical="center"/>
    </xf>
    <xf numFmtId="167" fontId="44" fillId="16" borderId="31" applyAlignment="1" pivotButton="0" quotePrefix="0" xfId="0">
      <alignment horizontal="right" vertical="center"/>
    </xf>
    <xf numFmtId="0" fontId="44" fillId="16" borderId="31" applyAlignment="1" pivotButton="0" quotePrefix="0" xfId="0">
      <alignment horizontal="center" vertical="center"/>
    </xf>
    <xf numFmtId="4" fontId="41" fillId="17" borderId="31" applyAlignment="1" pivotButton="0" quotePrefix="0" xfId="0">
      <alignment horizontal="right" vertical="center"/>
    </xf>
    <xf numFmtId="4" fontId="43" fillId="17" borderId="31" applyAlignment="1" pivotButton="0" quotePrefix="0" xfId="0">
      <alignment horizontal="right" vertical="center"/>
    </xf>
    <xf numFmtId="167" fontId="43" fillId="17" borderId="31" applyAlignment="1" pivotButton="0" quotePrefix="0" xfId="0">
      <alignment horizontal="right" vertical="center"/>
    </xf>
    <xf numFmtId="0" fontId="43" fillId="17" borderId="31" applyAlignment="1" pivotButton="0" quotePrefix="0" xfId="0">
      <alignment horizontal="center" vertical="center"/>
    </xf>
    <xf numFmtId="4" fontId="43" fillId="16" borderId="31" applyAlignment="1" pivotButton="0" quotePrefix="0" xfId="0">
      <alignment horizontal="right" vertical="center"/>
    </xf>
    <xf numFmtId="167" fontId="43" fillId="16" borderId="31" applyAlignment="1" pivotButton="0" quotePrefix="0" xfId="0">
      <alignment horizontal="right" vertical="center"/>
    </xf>
    <xf numFmtId="0" fontId="43" fillId="16" borderId="31" applyAlignment="1" pivotButton="0" quotePrefix="0" xfId="0">
      <alignment horizontal="center" vertical="center"/>
    </xf>
    <xf numFmtId="4" fontId="45" fillId="17" borderId="31" applyAlignment="1" pivotButton="0" quotePrefix="0" xfId="0">
      <alignment horizontal="right" vertical="center"/>
    </xf>
    <xf numFmtId="167" fontId="45" fillId="17" borderId="31" applyAlignment="1" pivotButton="0" quotePrefix="0" xfId="0">
      <alignment horizontal="right" vertical="center"/>
    </xf>
    <xf numFmtId="0" fontId="45" fillId="17" borderId="31" applyAlignment="1" pivotButton="0" quotePrefix="0" xfId="0">
      <alignment horizontal="center" vertical="center"/>
    </xf>
    <xf numFmtId="4" fontId="45" fillId="16" borderId="31" applyAlignment="1" pivotButton="0" quotePrefix="0" xfId="0">
      <alignment horizontal="right" vertical="center"/>
    </xf>
    <xf numFmtId="167" fontId="45" fillId="16" borderId="31" applyAlignment="1" pivotButton="0" quotePrefix="0" xfId="0">
      <alignment horizontal="right" vertical="center"/>
    </xf>
    <xf numFmtId="0" fontId="45" fillId="16" borderId="31" applyAlignment="1" pivotButton="0" quotePrefix="0" xfId="0">
      <alignment horizontal="center" vertical="center"/>
    </xf>
    <xf numFmtId="4" fontId="46" fillId="17" borderId="31" applyAlignment="1" pivotButton="0" quotePrefix="0" xfId="0">
      <alignment horizontal="right" vertical="center"/>
    </xf>
    <xf numFmtId="167" fontId="46" fillId="17" borderId="31" applyAlignment="1" pivotButton="0" quotePrefix="0" xfId="0">
      <alignment horizontal="right" vertical="center"/>
    </xf>
    <xf numFmtId="0" fontId="46" fillId="17" borderId="31" applyAlignment="1" pivotButton="0" quotePrefix="0" xfId="0">
      <alignment horizontal="center" vertical="center"/>
    </xf>
    <xf numFmtId="4" fontId="40" fillId="16" borderId="31" applyAlignment="1" pivotButton="0" quotePrefix="0" xfId="0">
      <alignment horizontal="right" vertical="center"/>
    </xf>
    <xf numFmtId="4" fontId="40" fillId="17" borderId="31" applyAlignment="1" pivotButton="0" quotePrefix="0" xfId="0">
      <alignment horizontal="right" vertical="center"/>
    </xf>
    <xf numFmtId="0" fontId="43" fillId="16" borderId="31" applyAlignment="1" pivotButton="0" quotePrefix="0" xfId="0">
      <alignment horizontal="left" vertical="center"/>
    </xf>
    <xf numFmtId="3" fontId="40" fillId="16" borderId="31" applyAlignment="1" pivotButton="0" quotePrefix="0" xfId="0">
      <alignment horizontal="right" vertical="center"/>
    </xf>
    <xf numFmtId="0" fontId="41" fillId="16" borderId="31" applyAlignment="1" pivotButton="0" quotePrefix="0" xfId="0">
      <alignment horizontal="left" vertical="center"/>
    </xf>
    <xf numFmtId="0" fontId="46" fillId="16" borderId="31" applyAlignment="1" pivotButton="0" quotePrefix="0" xfId="0">
      <alignment horizontal="left" vertical="center"/>
    </xf>
    <xf numFmtId="167" fontId="46" fillId="16" borderId="31" applyAlignment="1" pivotButton="0" quotePrefix="0" xfId="0">
      <alignment horizontal="right" vertical="center"/>
    </xf>
    <xf numFmtId="0" fontId="45" fillId="16" borderId="31" applyAlignment="1" pivotButton="0" quotePrefix="0" xfId="0">
      <alignment horizontal="left" vertical="center"/>
    </xf>
    <xf numFmtId="0" fontId="44" fillId="16" borderId="31" applyAlignment="1" pivotButton="0" quotePrefix="0" xfId="0">
      <alignment horizontal="left" vertical="center"/>
    </xf>
    <xf numFmtId="3" fontId="40" fillId="17" borderId="31" applyAlignment="1" pivotButton="0" quotePrefix="0" xfId="0">
      <alignment horizontal="right" vertical="center"/>
    </xf>
    <xf numFmtId="3" fontId="42" fillId="15" borderId="31" applyAlignment="1" pivotButton="0" quotePrefix="0" xfId="0">
      <alignment horizontal="right" vertical="center"/>
    </xf>
    <xf numFmtId="0" fontId="40" fillId="15" borderId="31" applyAlignment="1" pivotButton="0" quotePrefix="0" xfId="0">
      <alignment horizontal="right" vertical="center"/>
    </xf>
    <xf numFmtId="168" fontId="44" fillId="16" borderId="31" applyAlignment="1" pivotButton="0" quotePrefix="0" xfId="0">
      <alignment horizontal="right" vertical="center"/>
    </xf>
    <xf numFmtId="168" fontId="44" fillId="17" borderId="31" applyAlignment="1" pivotButton="0" quotePrefix="0" xfId="0">
      <alignment horizontal="right" vertical="center"/>
    </xf>
    <xf numFmtId="168" fontId="41" fillId="17" borderId="31" applyAlignment="1" pivotButton="0" quotePrefix="0" xfId="0">
      <alignment horizontal="right" vertical="center"/>
    </xf>
    <xf numFmtId="168" fontId="41" fillId="16" borderId="31" applyAlignment="1" pivotButton="0" quotePrefix="0" xfId="0">
      <alignment horizontal="right" vertical="center"/>
    </xf>
    <xf numFmtId="166" fontId="40" fillId="16" borderId="31" applyAlignment="1" pivotButton="0" quotePrefix="0" xfId="0">
      <alignment horizontal="right" vertical="center"/>
    </xf>
    <xf numFmtId="166" fontId="40" fillId="17" borderId="31" applyAlignment="1" pivotButton="0" quotePrefix="0" xfId="0">
      <alignment horizontal="right" vertical="center"/>
    </xf>
    <xf numFmtId="166" fontId="44" fillId="16" borderId="31" applyAlignment="1" pivotButton="0" quotePrefix="0" xfId="0">
      <alignment horizontal="right" vertical="center"/>
    </xf>
    <xf numFmtId="166" fontId="44" fillId="17" borderId="31" applyAlignment="1" pivotButton="0" quotePrefix="0" xfId="0">
      <alignment horizontal="right" vertical="center"/>
    </xf>
    <xf numFmtId="0" fontId="44" fillId="17" borderId="31" applyAlignment="1" pivotButton="0" quotePrefix="0" xfId="0">
      <alignment horizontal="left" vertical="center"/>
    </xf>
    <xf numFmtId="166" fontId="41" fillId="17" borderId="31" applyAlignment="1" pivotButton="0" quotePrefix="0" xfId="0">
      <alignment horizontal="right" vertical="center"/>
    </xf>
    <xf numFmtId="0" fontId="41" fillId="17" borderId="31" applyAlignment="1" pivotButton="0" quotePrefix="0" xfId="0">
      <alignment horizontal="left" vertical="center"/>
    </xf>
    <xf numFmtId="167" fontId="39" fillId="17" borderId="31" applyAlignment="1" pivotButton="0" quotePrefix="0" xfId="0">
      <alignment horizontal="right" vertical="center"/>
    </xf>
    <xf numFmtId="0" fontId="39" fillId="17" borderId="31" applyAlignment="1" pivotButton="0" quotePrefix="0" xfId="0">
      <alignment horizontal="center" vertical="center"/>
    </xf>
    <xf numFmtId="167" fontId="39" fillId="16" borderId="31" applyAlignment="1" pivotButton="0" quotePrefix="0" xfId="0">
      <alignment horizontal="right" vertical="center"/>
    </xf>
    <xf numFmtId="0" fontId="39" fillId="16" borderId="31" applyAlignment="1" pivotButton="0" quotePrefix="0" xfId="0">
      <alignment horizontal="center" vertical="center"/>
    </xf>
    <xf numFmtId="0" fontId="44" fillId="15" borderId="31" applyAlignment="1" pivotButton="0" quotePrefix="0" xfId="0">
      <alignment horizontal="left" vertical="center"/>
    </xf>
    <xf numFmtId="167" fontId="44" fillId="15" borderId="31" applyAlignment="1" pivotButton="0" quotePrefix="0" xfId="0">
      <alignment horizontal="right" vertical="center"/>
    </xf>
    <xf numFmtId="0" fontId="41" fillId="15" borderId="31" applyAlignment="1" pivotButton="0" quotePrefix="0" xfId="0">
      <alignment horizontal="left" vertical="center"/>
    </xf>
    <xf numFmtId="167" fontId="41" fillId="15" borderId="31" applyAlignment="1" pivotButton="0" quotePrefix="0" xfId="0">
      <alignment horizontal="right" vertical="center"/>
    </xf>
    <xf numFmtId="167" fontId="39" fillId="15" borderId="31" applyAlignment="1" pivotButton="0" quotePrefix="0" xfId="0">
      <alignment horizontal="right" vertical="center"/>
    </xf>
    <xf numFmtId="0" fontId="42" fillId="16" borderId="31" applyAlignment="1" pivotButton="0" quotePrefix="0" xfId="0">
      <alignment horizontal="left" vertical="center"/>
    </xf>
    <xf numFmtId="0" fontId="39" fillId="16" borderId="31" applyAlignment="1" pivotButton="0" quotePrefix="0" xfId="0">
      <alignment horizontal="left" vertical="center"/>
    </xf>
    <xf numFmtId="0" fontId="42" fillId="17" borderId="31" applyAlignment="1" pivotButton="0" quotePrefix="0" xfId="0">
      <alignment horizontal="left" vertical="center"/>
    </xf>
    <xf numFmtId="0" fontId="39" fillId="17" borderId="31" applyAlignment="1" pivotButton="0" quotePrefix="0" xfId="0">
      <alignment horizontal="left" vertical="center"/>
    </xf>
    <xf numFmtId="167" fontId="42" fillId="17" borderId="31" applyAlignment="1" pivotButton="0" quotePrefix="0" xfId="0">
      <alignment horizontal="right" vertical="center"/>
    </xf>
    <xf numFmtId="167" fontId="42" fillId="16" borderId="31" applyAlignment="1" pivotButton="0" quotePrefix="0" xfId="0">
      <alignment horizontal="right" vertical="center"/>
    </xf>
    <xf numFmtId="0" fontId="47" fillId="18" borderId="0" pivotButton="0" quotePrefix="0" xfId="0"/>
    <xf numFmtId="0" fontId="48" fillId="18" borderId="0" pivotButton="0" quotePrefix="0" xfId="0"/>
    <xf numFmtId="165" fontId="16" fillId="9" borderId="10" applyAlignment="1" pivotButton="0" quotePrefix="0" xfId="0">
      <alignment horizontal="left" vertical="center"/>
    </xf>
    <xf numFmtId="165" fontId="16" fillId="8" borderId="10" applyAlignment="1" pivotButton="0" quotePrefix="0" xfId="0">
      <alignment horizontal="left" vertical="center"/>
    </xf>
    <xf numFmtId="165" fontId="26" fillId="8" borderId="10" applyAlignment="1" pivotButton="0" quotePrefix="0" xfId="0">
      <alignment horizontal="left" vertical="center"/>
    </xf>
    <xf numFmtId="165" fontId="26" fillId="9" borderId="10" applyAlignment="1" pivotButton="0" quotePrefix="0" xfId="0">
      <alignment horizontal="left" vertical="center"/>
    </xf>
    <xf numFmtId="166" fontId="16" fillId="8" borderId="10" applyAlignment="1" pivotButton="0" quotePrefix="0" xfId="0">
      <alignment horizontal="right" vertical="center"/>
    </xf>
    <xf numFmtId="166" fontId="16" fillId="9" borderId="10" applyAlignment="1" pivotButton="0" quotePrefix="0" xfId="0">
      <alignment horizontal="right" vertical="center"/>
    </xf>
    <xf numFmtId="166" fontId="16" fillId="5" borderId="10" applyAlignment="1" pivotButton="0" quotePrefix="0" xfId="0">
      <alignment horizontal="right" vertical="center"/>
    </xf>
    <xf numFmtId="0" fontId="38" fillId="14" borderId="31" applyAlignment="1" pivotButton="0" quotePrefix="0" xfId="0">
      <alignment horizontal="left" vertical="center"/>
    </xf>
    <xf numFmtId="0" fontId="39" fillId="15" borderId="31" applyAlignment="1" pivotButton="0" quotePrefix="0" xfId="0">
      <alignment horizontal="left" vertical="center"/>
    </xf>
    <xf numFmtId="0" fontId="42" fillId="16" borderId="31" applyAlignment="1" pivotButton="0" quotePrefix="0" xfId="0">
      <alignment horizontal="left" vertical="center"/>
    </xf>
    <xf numFmtId="0" fontId="40" fillId="16" borderId="31" applyAlignment="1" pivotButton="0" quotePrefix="0" xfId="0">
      <alignment horizontal="left" vertical="center"/>
    </xf>
    <xf numFmtId="0" fontId="39" fillId="16" borderId="31" applyAlignment="1" pivotButton="0" quotePrefix="0" xfId="0">
      <alignment horizontal="left" vertical="center"/>
    </xf>
    <xf numFmtId="0" fontId="40" fillId="16" borderId="31" applyAlignment="1" pivotButton="0" quotePrefix="0" xfId="0">
      <alignment horizontal="center" vertical="center"/>
    </xf>
    <xf numFmtId="0" fontId="42" fillId="16" borderId="31" applyAlignment="1" pivotButton="0" quotePrefix="0" xfId="0">
      <alignment horizontal="center" vertical="center"/>
    </xf>
    <xf numFmtId="0" fontId="39" fillId="17" borderId="31" applyAlignment="1" pivotButton="0" quotePrefix="0" xfId="0">
      <alignment horizontal="left" vertical="center"/>
    </xf>
    <xf numFmtId="0" fontId="40" fillId="17" borderId="31" applyAlignment="1" pivotButton="0" quotePrefix="0" xfId="0">
      <alignment horizontal="left" vertical="center"/>
    </xf>
    <xf numFmtId="0" fontId="40" fillId="17" borderId="31" applyAlignment="1" pivotButton="0" quotePrefix="0" xfId="0">
      <alignment horizontal="center" vertical="center"/>
    </xf>
    <xf numFmtId="0" fontId="39" fillId="17" borderId="31" applyAlignment="1" pivotButton="0" quotePrefix="0" xfId="0">
      <alignment horizontal="center" vertical="center"/>
    </xf>
    <xf numFmtId="0" fontId="41" fillId="16" borderId="31" applyAlignment="1" pivotButton="0" quotePrefix="0" xfId="0">
      <alignment horizontal="left" vertical="center"/>
    </xf>
    <xf numFmtId="0" fontId="41" fillId="16" borderId="31" applyAlignment="1" pivotButton="0" quotePrefix="0" xfId="0">
      <alignment horizontal="center" vertical="center"/>
    </xf>
    <xf numFmtId="0" fontId="41" fillId="17" borderId="31" applyAlignment="1" pivotButton="0" quotePrefix="0" xfId="0">
      <alignment horizontal="left" vertical="center"/>
    </xf>
    <xf numFmtId="0" fontId="41" fillId="17" borderId="31" applyAlignment="1" pivotButton="0" quotePrefix="0" xfId="0">
      <alignment horizontal="center" vertical="center"/>
    </xf>
    <xf numFmtId="0" fontId="44" fillId="16" borderId="31" applyAlignment="1" pivotButton="0" quotePrefix="0" xfId="0">
      <alignment horizontal="left" vertical="center"/>
    </xf>
    <xf numFmtId="0" fontId="44" fillId="16" borderId="31" applyAlignment="1" pivotButton="0" quotePrefix="0" xfId="0">
      <alignment horizontal="center" vertical="center"/>
    </xf>
    <xf numFmtId="0" fontId="43" fillId="16" borderId="31" applyAlignment="1" pivotButton="0" quotePrefix="0" xfId="0">
      <alignment horizontal="left" vertical="center"/>
    </xf>
    <xf numFmtId="0" fontId="43" fillId="16" borderId="31" applyAlignment="1" pivotButton="0" quotePrefix="0" xfId="0">
      <alignment horizontal="center" vertical="center"/>
    </xf>
    <xf numFmtId="0" fontId="44" fillId="17" borderId="31" applyAlignment="1" pivotButton="0" quotePrefix="0" xfId="0">
      <alignment horizontal="left" vertical="center"/>
    </xf>
    <xf numFmtId="0" fontId="44" fillId="17" borderId="31" applyAlignment="1" pivotButton="0" quotePrefix="0" xfId="0">
      <alignment horizontal="center" vertical="center"/>
    </xf>
    <xf numFmtId="0" fontId="39" fillId="16" borderId="31" applyAlignment="1" pivotButton="0" quotePrefix="0" xfId="0">
      <alignment horizontal="center" vertical="center"/>
    </xf>
    <xf numFmtId="0" fontId="45" fillId="17" borderId="31" applyAlignment="1" pivotButton="0" quotePrefix="0" xfId="0">
      <alignment horizontal="left" vertical="center"/>
    </xf>
    <xf numFmtId="0" fontId="45" fillId="17" borderId="31" applyAlignment="1" pivotButton="0" quotePrefix="0" xfId="0">
      <alignment horizontal="left" vertical="center"/>
    </xf>
    <xf numFmtId="0" fontId="45" fillId="17" borderId="31" applyAlignment="1" pivotButton="0" quotePrefix="0" xfId="0">
      <alignment horizontal="center" vertical="center"/>
    </xf>
    <xf numFmtId="167" fontId="40" fillId="16" borderId="31" applyAlignment="1" pivotButton="0" quotePrefix="0" xfId="0">
      <alignment horizontal="right" vertical="center"/>
    </xf>
    <xf numFmtId="168" fontId="44" fillId="16" borderId="31" applyAlignment="1" pivotButton="0" quotePrefix="0" xfId="0">
      <alignment horizontal="right" vertical="center"/>
    </xf>
    <xf numFmtId="0" fontId="44" fillId="16" borderId="31" applyAlignment="1" pivotButton="0" quotePrefix="0" xfId="0">
      <alignment horizontal="right" vertical="center"/>
    </xf>
    <xf numFmtId="167" fontId="40" fillId="17" borderId="31" applyAlignment="1" pivotButton="0" quotePrefix="0" xfId="0">
      <alignment horizontal="right" vertical="center"/>
    </xf>
    <xf numFmtId="168" fontId="44" fillId="17" borderId="31" applyAlignment="1" pivotButton="0" quotePrefix="0" xfId="0">
      <alignment horizontal="right" vertical="center"/>
    </xf>
    <xf numFmtId="0" fontId="44" fillId="17" borderId="31" applyAlignment="1" pivotButton="0" quotePrefix="0" xfId="0">
      <alignment horizontal="right" vertical="center"/>
    </xf>
    <xf numFmtId="168" fontId="41" fillId="17" borderId="31" applyAlignment="1" pivotButton="0" quotePrefix="0" xfId="0">
      <alignment horizontal="right" vertical="center"/>
    </xf>
    <xf numFmtId="0" fontId="41" fillId="17" borderId="31" applyAlignment="1" pivotButton="0" quotePrefix="0" xfId="0">
      <alignment horizontal="right" vertical="center"/>
    </xf>
    <xf numFmtId="168" fontId="41" fillId="16" borderId="31" applyAlignment="1" pivotButton="0" quotePrefix="0" xfId="0">
      <alignment horizontal="right" vertical="center"/>
    </xf>
    <xf numFmtId="0" fontId="41" fillId="16" borderId="31" applyAlignment="1" pivotButton="0" quotePrefix="0" xfId="0">
      <alignment horizontal="right" vertical="center"/>
    </xf>
    <xf numFmtId="0" fontId="37" fillId="18" borderId="0" pivotButton="0" quotePrefix="0" xfId="0"/>
    <xf numFmtId="0" fontId="49" fillId="18" borderId="0" pivotButton="0" quotePrefix="0" xfId="0"/>
    <xf numFmtId="0" fontId="50" fillId="18" borderId="0" pivotButton="0" quotePrefix="0" xfId="0"/>
    <xf numFmtId="0" fontId="39" fillId="15" borderId="31" applyAlignment="1" pivotButton="0" quotePrefix="0" xfId="0">
      <alignment horizontal="center" vertical="center"/>
    </xf>
    <xf numFmtId="0" fontId="40" fillId="16" borderId="31" applyAlignment="1" pivotButton="0" quotePrefix="0" xfId="0">
      <alignment horizontal="center" vertical="center"/>
    </xf>
    <xf numFmtId="167" fontId="44" fillId="16" borderId="31" applyAlignment="1" pivotButton="0" quotePrefix="0" xfId="0">
      <alignment horizontal="right" vertical="center"/>
    </xf>
    <xf numFmtId="3" fontId="40" fillId="16" borderId="31" applyAlignment="1" pivotButton="0" quotePrefix="0" xfId="0">
      <alignment horizontal="right" vertical="center"/>
    </xf>
    <xf numFmtId="167" fontId="41" fillId="16" borderId="31" applyAlignment="1" pivotButton="0" quotePrefix="0" xfId="0">
      <alignment horizontal="right" vertical="center"/>
    </xf>
    <xf numFmtId="167" fontId="39" fillId="16" borderId="31" applyAlignment="1" pivotButton="0" quotePrefix="0" xfId="0">
      <alignment horizontal="right" vertical="center"/>
    </xf>
    <xf numFmtId="0" fontId="40" fillId="17" borderId="31" applyAlignment="1" pivotButton="0" quotePrefix="0" xfId="0">
      <alignment horizontal="center" vertical="center"/>
    </xf>
    <xf numFmtId="167" fontId="44" fillId="17" borderId="31" applyAlignment="1" pivotButton="0" quotePrefix="0" xfId="0">
      <alignment horizontal="right" vertical="center"/>
    </xf>
    <xf numFmtId="3" fontId="40" fillId="17" borderId="31" applyAlignment="1" pivotButton="0" quotePrefix="0" xfId="0">
      <alignment horizontal="right" vertical="center"/>
    </xf>
    <xf numFmtId="167" fontId="41" fillId="17" borderId="31" applyAlignment="1" pivotButton="0" quotePrefix="0" xfId="0">
      <alignment horizontal="right" vertical="center"/>
    </xf>
    <xf numFmtId="167" fontId="39" fillId="17" borderId="31" applyAlignment="1" pivotButton="0" quotePrefix="0" xfId="0">
      <alignment horizontal="right" vertical="center"/>
    </xf>
    <xf numFmtId="0" fontId="40" fillId="16" borderId="31" applyAlignment="1" pivotButton="0" quotePrefix="0" xfId="0">
      <alignment horizontal="left" vertical="center"/>
    </xf>
    <xf numFmtId="0" fontId="43" fillId="16" borderId="31" applyAlignment="1" pivotButton="0" quotePrefix="0" xfId="0">
      <alignment horizontal="center" vertical="center"/>
    </xf>
    <xf numFmtId="168" fontId="40" fillId="16" borderId="31" applyAlignment="1" pivotButton="0" quotePrefix="0" xfId="0">
      <alignment horizontal="right" vertical="center"/>
    </xf>
    <xf numFmtId="168" fontId="40" fillId="16" borderId="31" applyAlignment="1" pivotButton="0" quotePrefix="0" xfId="0">
      <alignment horizontal="right" vertical="center"/>
    </xf>
    <xf numFmtId="0" fontId="40" fillId="17" borderId="31" applyAlignment="1" pivotButton="0" quotePrefix="0" xfId="0">
      <alignment horizontal="left" vertical="center"/>
    </xf>
    <xf numFmtId="0" fontId="43" fillId="17" borderId="31" applyAlignment="1" pivotButton="0" quotePrefix="0" xfId="0">
      <alignment horizontal="center" vertical="center"/>
    </xf>
    <xf numFmtId="168" fontId="40" fillId="17" borderId="31" applyAlignment="1" pivotButton="0" quotePrefix="0" xfId="0">
      <alignment horizontal="right" vertical="center"/>
    </xf>
    <xf numFmtId="168" fontId="40" fillId="17" borderId="31" applyAlignment="1" pivotButton="0" quotePrefix="0" xfId="0">
      <alignment horizontal="right" vertical="center"/>
    </xf>
    <xf numFmtId="0" fontId="47" fillId="18" borderId="31" applyAlignment="1" pivotButton="0" quotePrefix="0" xfId="0">
      <alignment horizontal="left" vertical="center"/>
    </xf>
    <xf numFmtId="0" fontId="47" fillId="18" borderId="0" applyAlignment="1" pivotButton="0" quotePrefix="0" xfId="0">
      <alignment horizontal="left" vertical="center"/>
    </xf>
    <xf numFmtId="166" fontId="39" fillId="16" borderId="31" applyAlignment="1" pivotButton="0" quotePrefix="0" xfId="0">
      <alignment horizontal="right" vertical="center"/>
    </xf>
    <xf numFmtId="166" fontId="39" fillId="17" borderId="31" applyAlignment="1" pivotButton="0" quotePrefix="0" xfId="0">
      <alignment horizontal="right" vertical="center"/>
    </xf>
    <xf numFmtId="0" fontId="49" fillId="18" borderId="31" applyAlignment="1" pivotButton="0" quotePrefix="0" xfId="0">
      <alignment horizontal="left" vertical="center"/>
    </xf>
    <xf numFmtId="0" fontId="43" fillId="17" borderId="31" applyAlignment="1" pivotButton="0" quotePrefix="0" xfId="0">
      <alignment horizontal="left" vertical="center"/>
    </xf>
    <xf numFmtId="3" fontId="44" fillId="16" borderId="31" applyAlignment="1" pivotButton="0" quotePrefix="0" xfId="0">
      <alignment horizontal="right" vertical="center"/>
    </xf>
    <xf numFmtId="3" fontId="41" fillId="17" borderId="31" applyAlignment="1" pivotButton="0" quotePrefix="0" xfId="0">
      <alignment horizontal="right" vertical="center"/>
    </xf>
    <xf numFmtId="3" fontId="39" fillId="16" borderId="31" applyAlignment="1" pivotButton="0" quotePrefix="0" xfId="0">
      <alignment horizontal="right" vertical="center"/>
    </xf>
    <xf numFmtId="0" fontId="41" fillId="16" borderId="31" applyAlignment="1" pivotButton="0" quotePrefix="0" xfId="0">
      <alignment horizontal="left" vertical="center" wrapText="1"/>
    </xf>
    <xf numFmtId="0" fontId="41" fillId="17" borderId="31" applyAlignment="1" pivotButton="0" quotePrefix="0" xfId="0">
      <alignment horizontal="left" vertical="center" wrapText="1"/>
    </xf>
    <xf numFmtId="164" fontId="41" fillId="16" borderId="31" applyAlignment="1" pivotButton="0" quotePrefix="0" xfId="0">
      <alignment horizontal="right" vertical="center"/>
    </xf>
    <xf numFmtId="164" fontId="40" fillId="16" borderId="31" applyAlignment="1" pivotButton="0" quotePrefix="0" xfId="0">
      <alignment horizontal="right" vertical="center"/>
    </xf>
    <xf numFmtId="169" fontId="40" fillId="16" borderId="31" applyAlignment="1" pivotButton="0" quotePrefix="0" xfId="0">
      <alignment horizontal="right" vertical="center"/>
    </xf>
    <xf numFmtId="170" fontId="42" fillId="16" borderId="31" applyAlignment="1" pivotButton="0" quotePrefix="0" xfId="0">
      <alignment horizontal="right" vertical="center"/>
    </xf>
    <xf numFmtId="170" fontId="44" fillId="16" borderId="31" applyAlignment="1" pivotButton="0" quotePrefix="0" xfId="0">
      <alignment horizontal="right" vertical="center"/>
    </xf>
    <xf numFmtId="170" fontId="41" fillId="16" borderId="31" applyAlignment="1" pivotButton="0" quotePrefix="0" xfId="0">
      <alignment horizontal="right" vertical="center"/>
    </xf>
    <xf numFmtId="170" fontId="43" fillId="16" borderId="31" applyAlignment="1" pivotButton="0" quotePrefix="0" xfId="0">
      <alignment horizontal="right" vertical="center"/>
    </xf>
    <xf numFmtId="169" fontId="40" fillId="17" borderId="31" applyAlignment="1" pivotButton="0" quotePrefix="0" xfId="0">
      <alignment horizontal="right" vertical="center"/>
    </xf>
    <xf numFmtId="170" fontId="42" fillId="17" borderId="31" applyAlignment="1" pivotButton="0" quotePrefix="0" xfId="0">
      <alignment horizontal="right" vertical="center"/>
    </xf>
    <xf numFmtId="170" fontId="44" fillId="17" borderId="31" applyAlignment="1" pivotButton="0" quotePrefix="0" xfId="0">
      <alignment horizontal="right" vertical="center"/>
    </xf>
    <xf numFmtId="170" fontId="41" fillId="17" borderId="31" applyAlignment="1" pivotButton="0" quotePrefix="0" xfId="0">
      <alignment horizontal="right" vertical="center"/>
    </xf>
    <xf numFmtId="170" fontId="43" fillId="17" borderId="31" applyAlignment="1" pivotButton="0" quotePrefix="0" xfId="0">
      <alignment horizontal="right" vertical="center"/>
    </xf>
    <xf numFmtId="170" fontId="39" fillId="16" borderId="31" applyAlignment="1" pivotButton="0" quotePrefix="0" xfId="0">
      <alignment horizontal="right" vertical="center"/>
    </xf>
    <xf numFmtId="170" fontId="40" fillId="16" borderId="31" applyAlignment="1" pivotButton="0" quotePrefix="0" xfId="0">
      <alignment horizontal="right" vertical="center"/>
    </xf>
    <xf numFmtId="170" fontId="39" fillId="17" borderId="31" applyAlignment="1" pivotButton="0" quotePrefix="0" xfId="0">
      <alignment horizontal="right" vertical="center"/>
    </xf>
    <xf numFmtId="170" fontId="40" fillId="17" borderId="31" applyAlignment="1" pivotButton="0" quotePrefix="0" xfId="0">
      <alignment horizontal="right" vertical="center"/>
    </xf>
    <xf numFmtId="3" fontId="44" fillId="17" borderId="31" applyAlignment="1" pivotButton="0" quotePrefix="0" xfId="0">
      <alignment horizontal="right" vertical="center"/>
    </xf>
    <xf numFmtId="3" fontId="41" fillId="16" borderId="31" applyAlignment="1" pivotButton="0" quotePrefix="0" xfId="0">
      <alignment horizontal="right" vertical="center"/>
    </xf>
    <xf numFmtId="3" fontId="39" fillId="17" borderId="31" applyAlignment="1" pivotButton="0" quotePrefix="0" xfId="0">
      <alignment horizontal="right" vertical="center"/>
    </xf>
    <xf numFmtId="0" fontId="51" fillId="13" borderId="31" applyAlignment="1" pivotButton="0" quotePrefix="0" xfId="0">
      <alignment horizontal="left" vertical="center"/>
    </xf>
    <xf numFmtId="0" fontId="52" fillId="13" borderId="0" applyAlignment="1" pivotButton="0" quotePrefix="0" xfId="0">
      <alignment horizontal="left" vertical="center"/>
    </xf>
    <xf numFmtId="0" fontId="39" fillId="19" borderId="31" applyAlignment="1" pivotButton="0" quotePrefix="0" xfId="0">
      <alignment horizontal="left" vertical="center"/>
    </xf>
    <xf numFmtId="0" fontId="37" fillId="19" borderId="31" applyAlignment="1" pivotButton="0" quotePrefix="0" xfId="0">
      <alignment horizontal="center" vertical="center"/>
    </xf>
    <xf numFmtId="0" fontId="53" fillId="20" borderId="31" applyAlignment="1" pivotButton="0" quotePrefix="0" xfId="0">
      <alignment horizontal="center" vertical="center"/>
    </xf>
    <xf numFmtId="0" fontId="54" fillId="21" borderId="31" applyAlignment="1" pivotButton="0" quotePrefix="0" xfId="0">
      <alignment horizontal="center" vertical="center"/>
    </xf>
    <xf numFmtId="0" fontId="55" fillId="22" borderId="31" applyAlignment="1" pivotButton="0" quotePrefix="0" xfId="0">
      <alignment horizontal="center" vertical="center"/>
    </xf>
    <xf numFmtId="0" fontId="56" fillId="23" borderId="31" applyAlignment="1" pivotButton="0" quotePrefix="0" xfId="0">
      <alignment horizontal="center" vertical="center"/>
    </xf>
    <xf numFmtId="0" fontId="57" fillId="24" borderId="31" applyAlignment="1" pivotButton="0" quotePrefix="0" xfId="0">
      <alignment horizontal="center" vertical="center"/>
    </xf>
    <xf numFmtId="0" fontId="58" fillId="25" borderId="31" applyAlignment="1" pivotButton="0" quotePrefix="0" xfId="0">
      <alignment horizontal="center" vertical="center"/>
    </xf>
    <xf numFmtId="0" fontId="37" fillId="26" borderId="31" applyAlignment="1" pivotButton="0" quotePrefix="0" xfId="0">
      <alignment horizontal="center" vertical="center"/>
    </xf>
    <xf numFmtId="0" fontId="59" fillId="24" borderId="31" applyAlignment="1" pivotButton="0" quotePrefix="0" xfId="0">
      <alignment horizontal="center" vertical="center"/>
    </xf>
    <xf numFmtId="0" fontId="59" fillId="24" borderId="31" applyAlignment="1" pivotButton="0" quotePrefix="0" xfId="0">
      <alignment horizontal="left" vertical="center"/>
    </xf>
    <xf numFmtId="0" fontId="60" fillId="22" borderId="31" applyAlignment="1" pivotButton="0" quotePrefix="0" xfId="0">
      <alignment horizontal="center" vertical="center"/>
    </xf>
    <xf numFmtId="0" fontId="60" fillId="22" borderId="31" applyAlignment="1" pivotButton="0" quotePrefix="0" xfId="0">
      <alignment horizontal="left" vertical="center"/>
    </xf>
    <xf numFmtId="0" fontId="39" fillId="19" borderId="31" applyAlignment="1" pivotButton="0" quotePrefix="0" xfId="0">
      <alignment horizontal="center" vertical="center"/>
    </xf>
    <xf numFmtId="0" fontId="40" fillId="17" borderId="31" applyAlignment="1" pivotButton="0" quotePrefix="0" xfId="0">
      <alignment horizontal="right" vertical="center"/>
    </xf>
    <xf numFmtId="0" fontId="58" fillId="17" borderId="31" applyAlignment="1" pivotButton="0" quotePrefix="0" xfId="0">
      <alignment horizontal="center" vertical="center"/>
    </xf>
    <xf numFmtId="0" fontId="40" fillId="17" borderId="31" applyAlignment="1" pivotButton="0" quotePrefix="0" xfId="0">
      <alignment horizontal="left" vertical="center" wrapText="1"/>
    </xf>
    <xf numFmtId="0" fontId="58" fillId="17" borderId="31" applyAlignment="1" pivotButton="0" quotePrefix="0" xfId="0">
      <alignment horizontal="right" vertical="center"/>
    </xf>
    <xf numFmtId="0" fontId="40" fillId="24" borderId="31" applyAlignment="1" pivotButton="0" quotePrefix="0" xfId="0">
      <alignment horizontal="right" vertical="center"/>
    </xf>
    <xf numFmtId="0" fontId="40" fillId="24" borderId="31" applyAlignment="1" pivotButton="0" quotePrefix="0" xfId="0">
      <alignment horizontal="center" vertical="center"/>
    </xf>
    <xf numFmtId="0" fontId="40" fillId="24" borderId="31" applyAlignment="1" pivotButton="0" quotePrefix="0" xfId="0">
      <alignment horizontal="left" vertical="center" wrapText="1"/>
    </xf>
    <xf numFmtId="0" fontId="57" fillId="24" borderId="31" applyAlignment="1" pivotButton="0" quotePrefix="0" xfId="0">
      <alignment horizontal="right" vertical="center"/>
    </xf>
    <xf numFmtId="170" fontId="57" fillId="24" borderId="31" applyAlignment="1" pivotButton="0" quotePrefix="0" xfId="0">
      <alignment horizontal="right" vertical="center"/>
    </xf>
    <xf numFmtId="0" fontId="40" fillId="21" borderId="31" applyAlignment="1" pivotButton="0" quotePrefix="0" xfId="0">
      <alignment horizontal="right" vertical="center"/>
    </xf>
    <xf numFmtId="0" fontId="40" fillId="21" borderId="31" applyAlignment="1" pivotButton="0" quotePrefix="0" xfId="0">
      <alignment horizontal="center" vertical="center"/>
    </xf>
    <xf numFmtId="0" fontId="40" fillId="21" borderId="31" applyAlignment="1" pivotButton="0" quotePrefix="0" xfId="0">
      <alignment horizontal="left" vertical="center" wrapText="1"/>
    </xf>
    <xf numFmtId="170" fontId="54" fillId="21" borderId="31" applyAlignment="1" pivotButton="0" quotePrefix="0" xfId="0">
      <alignment horizontal="right" vertical="center"/>
    </xf>
    <xf numFmtId="0" fontId="54" fillId="21" borderId="3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Card Spend /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'_DATA'!B1</f>
            </strRef>
          </tx>
          <spPr>
            <a:solidFill>
              <a:srgbClr val="C9A84C"/>
            </a:solidFill>
            <a:ln>
              <a:prstDash val="solid"/>
            </a:ln>
          </spPr>
          <cat>
            <numRef>
              <f>'_DATA'!$A$2:$A$7</f>
            </numRef>
          </cat>
          <val>
            <numRef>
              <f>'_DATA'!$B$2:$B$7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Card Spend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'_DATA'!B1</f>
            </strRef>
          </tx>
          <spPr>
            <a:solidFill>
              <a:srgbClr val="8B1A1A"/>
            </a:solidFill>
            <a:ln>
              <a:prstDash val="solid"/>
            </a:ln>
          </spPr>
          <cat>
            <numRef>
              <f>'_DATA'!$A$2:$A$7</f>
            </numRef>
          </cat>
          <val>
            <numRef>
              <f>'_DATA'!$B$2:$B$7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Card Spend by Category</a:t>
            </a:r>
          </a:p>
        </rich>
      </tx>
    </title>
    <plotArea>
      <pieChart>
        <varyColors val="1"/>
        <ser>
          <idx val="0"/>
          <order val="0"/>
          <tx>
            <strRef>
              <f>'_DATA'!E1</f>
            </strRef>
          </tx>
          <spPr>
            <a:ln>
              <a:prstDash val="solid"/>
            </a:ln>
          </spPr>
          <cat>
            <numRef>
              <f>'_DATA'!$D$2:$D$9</f>
            </numRef>
          </cat>
          <val>
            <numRef>
              <f>'_DATA'!$E$2:$E$9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International Capital Flows (R$)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'_DATA'!H1</f>
            </strRef>
          </tx>
          <spPr>
            <a:solidFill>
              <a:srgbClr val="C9A84C"/>
            </a:solidFill>
            <a:ln>
              <a:prstDash val="solid"/>
            </a:ln>
          </spPr>
          <cat>
            <numRef>
              <f>'_DATA'!$G$2:$G$6</f>
            </numRef>
          </cat>
          <val>
            <numRef>
              <f>'_DATA'!$H$2:$H$6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Subscription Cost by Decision</a:t>
            </a:r>
          </a:p>
        </rich>
      </tx>
    </title>
    <plotArea>
      <pieChart>
        <varyColors val="1"/>
        <ser>
          <idx val="0"/>
          <order val="0"/>
          <tx>
            <strRef>
              <f>'_DATA'!K1</f>
            </strRef>
          </tx>
          <spPr>
            <a:ln>
              <a:prstDash val="solid"/>
            </a:ln>
          </spPr>
          <cat>
            <numRef>
              <f>'_DATA'!$J$2:$J$4</f>
            </numRef>
          </cat>
          <val>
            <numRef>
              <f>'_DATA'!$K$2:$K$4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57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31</row>
      <rowOff>0</rowOff>
    </from>
    <ext cx="792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31</row>
      <rowOff>0</rowOff>
    </from>
    <ext cx="5040000" cy="46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B1:M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3" customWidth="1" min="3" max="3"/>
    <col width="18" customWidth="1" min="4" max="4"/>
    <col width="3" customWidth="1" min="5" max="5"/>
    <col width="18" customWidth="1" min="6" max="6"/>
    <col width="3" customWidth="1" min="7" max="7"/>
    <col width="18" customWidth="1" min="8" max="8"/>
    <col width="3" customWidth="1" min="9" max="9"/>
    <col width="18" customWidth="1" min="10" max="10"/>
    <col width="3" customWidth="1" min="11" max="11"/>
    <col width="18" customWidth="1" min="12" max="12"/>
    <col width="3" customWidth="1" min="13" max="13"/>
    <col width="16" customWidth="1" min="14" max="14"/>
    <col width="2" customWidth="1" min="15" max="15"/>
  </cols>
  <sheetData>
    <row r="1" ht="28" customHeight="1">
      <c r="B1" s="281" t="inlineStr">
        <is>
          <t>◆ WEALTH MANAGEMENT COMMAND CENTER · Eduardo Forster Giovannini · 2026</t>
        </is>
      </c>
      <c r="C1" s="107" t="n"/>
      <c r="D1" s="107" t="n"/>
      <c r="E1" s="107" t="n"/>
      <c r="F1" s="107" t="n"/>
      <c r="G1" s="107" t="n"/>
      <c r="H1" s="107" t="n"/>
      <c r="I1" s="107" t="n"/>
      <c r="J1" s="107" t="n"/>
      <c r="K1" s="107" t="n"/>
      <c r="L1" s="107" t="n"/>
      <c r="M1" s="108" t="n"/>
    </row>
    <row r="2" ht="14" customHeight="1">
      <c r="B2" s="282" t="inlineStr">
        <is>
          <t>All KPI values live-linked from CALC sheet · Edit CALC col D format codes to change display globally · Jul 2026</t>
        </is>
      </c>
    </row>
    <row r="3" ht="6" customHeight="1"/>
    <row r="4" ht="14" customHeight="1">
      <c r="B4" s="283" t="inlineStr">
        <is>
          <t>◆  NET WORTH &amp; LIQUIDITY</t>
        </is>
      </c>
      <c r="C4" s="107" t="n"/>
      <c r="D4" s="107" t="n"/>
      <c r="E4" s="107" t="n"/>
      <c r="F4" s="107" t="n"/>
      <c r="G4" s="107" t="n"/>
      <c r="H4" s="107" t="n"/>
      <c r="I4" s="107" t="n"/>
      <c r="J4" s="107" t="n"/>
      <c r="K4" s="107" t="n"/>
      <c r="L4" s="107" t="n"/>
      <c r="M4" s="108" t="n"/>
    </row>
    <row r="5" ht="13" customHeight="1">
      <c r="B5" s="284" t="inlineStr">
        <is>
          <t>EST NET WORTH</t>
        </is>
      </c>
      <c r="D5" s="284" t="inlineStr">
        <is>
          <t>TOTAL LIQUID</t>
        </is>
      </c>
      <c r="F5" s="284" t="inlineStr">
        <is>
          <t>IB NET DEPLOYED</t>
        </is>
      </c>
      <c r="H5" s="284" t="inlineStr">
        <is>
          <t>FUNDOS BRL</t>
        </is>
      </c>
      <c r="J5" s="284" t="inlineStr">
        <is>
          <t>CANCEL SAV/YR</t>
        </is>
      </c>
    </row>
    <row r="6" ht="32" customHeight="1">
      <c r="B6" s="285">
        <f>CALC!E161</f>
        <v/>
      </c>
      <c r="D6" s="286">
        <f>CALC!E162</f>
        <v/>
      </c>
      <c r="F6" s="287">
        <f>CALC!E163</f>
        <v/>
      </c>
      <c r="H6" s="287">
        <f>CALC!E164</f>
        <v/>
      </c>
      <c r="J6" s="288">
        <f>CALC!E175</f>
        <v/>
      </c>
    </row>
    <row r="8" ht="14" customHeight="1">
      <c r="B8" s="283" t="inlineStr">
        <is>
          <t>◆  CAPITAL FLOWS H1 2026</t>
        </is>
      </c>
      <c r="C8" s="107" t="n"/>
      <c r="D8" s="107" t="n"/>
      <c r="E8" s="107" t="n"/>
      <c r="F8" s="107" t="n"/>
      <c r="G8" s="107" t="n"/>
      <c r="H8" s="107" t="n"/>
      <c r="I8" s="107" t="n"/>
      <c r="J8" s="107" t="n"/>
      <c r="K8" s="107" t="n"/>
      <c r="L8" s="107" t="n"/>
      <c r="M8" s="108" t="n"/>
    </row>
    <row r="9" ht="13" customHeight="1">
      <c r="B9" s="284" t="inlineStr">
        <is>
          <t>FX OUTBOUND</t>
        </is>
      </c>
      <c r="D9" s="284" t="inlineStr">
        <is>
          <t>INBOUND</t>
        </is>
      </c>
      <c r="F9" s="284" t="inlineStr">
        <is>
          <t>AVG FX RATE</t>
        </is>
      </c>
      <c r="H9" s="284" t="inlineStr">
        <is>
          <t>IB DEPOSITS</t>
        </is>
      </c>
      <c r="J9" s="284" t="inlineStr">
        <is>
          <t>IB WITHDRAWAL</t>
        </is>
      </c>
    </row>
    <row r="10" ht="32" customHeight="1">
      <c r="B10" s="289">
        <f>CALC!E165</f>
        <v/>
      </c>
      <c r="D10" s="288">
        <f>CALC!E166</f>
        <v/>
      </c>
      <c r="F10" s="290">
        <f>CALC!E167</f>
        <v/>
      </c>
      <c r="H10" s="287">
        <f>CALC!E168</f>
        <v/>
      </c>
      <c r="J10" s="289">
        <f>CALC!E169</f>
        <v/>
      </c>
    </row>
    <row r="11" ht="30" customHeight="1"/>
    <row r="12" ht="14" customHeight="1">
      <c r="B12" s="283" t="inlineStr">
        <is>
          <t>◆  LIFESTYLE &amp; SUBSCRIPTION STACK</t>
        </is>
      </c>
      <c r="C12" s="107" t="n"/>
      <c r="D12" s="107" t="n"/>
      <c r="E12" s="107" t="n"/>
      <c r="F12" s="107" t="n"/>
      <c r="G12" s="107" t="n"/>
      <c r="H12" s="107" t="n"/>
      <c r="I12" s="107" t="n"/>
      <c r="J12" s="107" t="n"/>
      <c r="K12" s="107" t="n"/>
      <c r="L12" s="107" t="n"/>
      <c r="M12" s="108" t="n"/>
    </row>
    <row r="13" ht="13" customHeight="1">
      <c r="B13" s="284" t="inlineStr">
        <is>
          <t>CARD SPEND H1</t>
        </is>
      </c>
      <c r="D13" s="284" t="inlineStr">
        <is>
          <t>CARD AVG/MO</t>
        </is>
      </c>
      <c r="F13" s="284" t="inlineStr">
        <is>
          <t>PIX NET FLOW</t>
        </is>
      </c>
      <c r="H13" s="284" t="inlineStr">
        <is>
          <t>SUB STACK/MO</t>
        </is>
      </c>
      <c r="J13" s="284" t="inlineStr">
        <is>
          <t>CANCEL SAV/MO</t>
        </is>
      </c>
    </row>
    <row r="14" ht="32" customHeight="1">
      <c r="B14" s="289">
        <f>CALC!E170</f>
        <v/>
      </c>
      <c r="D14" s="286">
        <f>CALC!E171</f>
        <v/>
      </c>
      <c r="F14" s="288">
        <f>CALC!E172</f>
        <v/>
      </c>
      <c r="H14" s="289">
        <f>CALC!E173</f>
        <v/>
      </c>
      <c r="J14" s="287">
        <f>CALC!E174</f>
        <v/>
      </c>
    </row>
    <row r="15" ht="16" customHeight="1"/>
    <row r="16" ht="14" customHeight="1">
      <c r="B16" s="283" t="inlineStr">
        <is>
          <t>◆  MoM SIGNALS (Jun vs May 2026) — ▲=good ▼=bad (inverted for costs)</t>
        </is>
      </c>
      <c r="C16" s="107" t="n"/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8" t="n"/>
    </row>
    <row r="17" ht="13" customHeight="1">
      <c r="B17" s="291" t="inlineStr">
        <is>
          <t>Card Spend</t>
        </is>
      </c>
      <c r="D17" s="291" t="inlineStr">
        <is>
          <t>PIX In</t>
        </is>
      </c>
      <c r="F17" s="291" t="inlineStr">
        <is>
          <t>PIX Out</t>
        </is>
      </c>
      <c r="H17" s="291" t="inlineStr">
        <is>
          <t>FX Outbound</t>
        </is>
      </c>
      <c r="J17" s="291" t="inlineStr">
        <is>
          <t>Sub Stack</t>
        </is>
      </c>
    </row>
    <row r="18" ht="20" customHeight="1">
      <c r="B18" s="292">
        <f>CALC!C488</f>
        <v/>
      </c>
      <c r="C18" s="293">
        <f>CALC!D488</f>
        <v/>
      </c>
      <c r="D18" s="294">
        <f>CALC!C489</f>
        <v/>
      </c>
      <c r="E18" s="295">
        <f>CALC!D489</f>
        <v/>
      </c>
      <c r="F18" s="292">
        <f>CALC!C490</f>
        <v/>
      </c>
      <c r="G18" s="293">
        <f>CALC!D490</f>
        <v/>
      </c>
      <c r="H18" s="292">
        <f>CALC!C491</f>
        <v/>
      </c>
      <c r="I18" s="293">
        <f>CALC!D491</f>
        <v/>
      </c>
      <c r="J18" s="292">
        <f>CALC!C493</f>
        <v/>
      </c>
      <c r="K18" s="293">
        <f>CALC!D493</f>
        <v/>
      </c>
    </row>
    <row r="19" ht="18" customHeight="1"/>
    <row r="20" ht="14" customHeight="1">
      <c r="B20" s="283" t="inlineStr">
        <is>
          <t>◆  PRIORITY ACTIONS — live from 08 ALERTS</t>
        </is>
      </c>
      <c r="C20" s="107" t="n"/>
      <c r="D20" s="107" t="n"/>
      <c r="E20" s="107" t="n"/>
      <c r="F20" s="107" t="n"/>
      <c r="G20" s="107" t="n"/>
      <c r="H20" s="107" t="n"/>
      <c r="I20" s="107" t="n"/>
      <c r="J20" s="107" t="n"/>
      <c r="K20" s="107" t="n"/>
      <c r="L20" s="107" t="n"/>
      <c r="M20" s="108" t="n"/>
    </row>
    <row r="21" ht="13" customHeight="1">
      <c r="B21" s="296" t="inlineStr">
        <is>
          <t>#</t>
        </is>
      </c>
      <c r="C21" s="296" t="inlineStr">
        <is>
          <t>SEV</t>
        </is>
      </c>
      <c r="D21" s="296" t="inlineStr">
        <is>
          <t>DOMAIN</t>
        </is>
      </c>
      <c r="E21" s="296" t="inlineStr">
        <is>
          <t>FINDING</t>
        </is>
      </c>
      <c r="F21" s="296" t="inlineStr"/>
      <c r="G21" s="296" t="inlineStr"/>
      <c r="H21" s="296" t="inlineStr"/>
      <c r="I21" s="296" t="inlineStr">
        <is>
          <t>EXPOSURE</t>
        </is>
      </c>
      <c r="J21" s="296" t="inlineStr">
        <is>
          <t>STATUS</t>
        </is>
      </c>
    </row>
    <row r="22" ht="16" customHeight="1">
      <c r="B22" s="297" t="inlineStr">
        <is>
          <t>#</t>
        </is>
      </c>
      <c r="C22" s="298" t="inlineStr">
        <is>
          <t>Severity</t>
        </is>
      </c>
      <c r="D22" s="238" t="inlineStr">
        <is>
          <t>Domain</t>
        </is>
      </c>
      <c r="E22" s="299" t="inlineStr">
        <is>
          <t>Finding</t>
        </is>
      </c>
      <c r="F22" s="107" t="n"/>
      <c r="G22" s="107" t="n"/>
      <c r="H22" s="108" t="n"/>
      <c r="I22" s="300" t="inlineStr">
        <is>
          <t>BRL Exposure</t>
        </is>
      </c>
      <c r="J22" s="238" t="inlineStr">
        <is>
          <t>Status</t>
        </is>
      </c>
    </row>
    <row r="23" ht="16" customHeight="1">
      <c r="B23" s="301" t="n">
        <v>1</v>
      </c>
      <c r="C23" s="289" t="inlineStr">
        <is>
          <t>CRITICAL</t>
        </is>
      </c>
      <c r="D23" s="302" t="inlineStr">
        <is>
          <t>Subscriptions</t>
        </is>
      </c>
      <c r="E23" s="303" t="inlineStr">
        <is>
          <t>4 services flagged CANCEL: Claude x2 (0/mo), Grok (R$14…</t>
        </is>
      </c>
      <c r="F23" s="107" t="n"/>
      <c r="G23" s="107" t="n"/>
      <c r="H23" s="108" t="n"/>
      <c r="I23" s="304" t="inlineStr">
        <is>
          <t>—</t>
        </is>
      </c>
      <c r="J23" s="302" t="inlineStr">
        <is>
          <t>⏳ Pending</t>
        </is>
      </c>
    </row>
    <row r="24" ht="16" customHeight="1">
      <c r="B24" s="301" t="n">
        <v>2</v>
      </c>
      <c r="C24" s="289" t="inlineStr">
        <is>
          <t>CRITICAL</t>
        </is>
      </c>
      <c r="D24" s="302" t="inlineStr">
        <is>
          <t>FX Reconciliation</t>
        </is>
      </c>
      <c r="E24" s="303" t="inlineStr">
        <is>
          <t>R$652,789 sent to USA Own Account (67995 nature). Valid…</t>
        </is>
      </c>
      <c r="F24" s="107" t="n"/>
      <c r="G24" s="107" t="n"/>
      <c r="H24" s="108" t="n"/>
      <c r="I24" s="305" t="n">
        <v>652788.61</v>
      </c>
      <c r="J24" s="302" t="inlineStr">
        <is>
          <t>⏳ Pending</t>
        </is>
      </c>
    </row>
    <row r="25" ht="16" customHeight="1">
      <c r="B25" s="301" t="n">
        <v>3</v>
      </c>
      <c r="C25" s="289" t="inlineStr">
        <is>
          <t>CRITICAL</t>
        </is>
      </c>
      <c r="D25" s="302" t="inlineStr">
        <is>
          <t>Subscription Stack Bloat</t>
        </is>
      </c>
      <c r="E25" s="303" t="inlineStr">
        <is>
          <t>R$0/mo in REVIEW = 3 services undecided. Annual exposur…</t>
        </is>
      </c>
      <c r="F25" s="107" t="n"/>
      <c r="G25" s="107" t="n"/>
      <c r="H25" s="108" t="n"/>
      <c r="I25" s="304" t="inlineStr">
        <is>
          <t>—</t>
        </is>
      </c>
      <c r="J25" s="302" t="inlineStr">
        <is>
          <t>⏳ Pending</t>
        </is>
      </c>
    </row>
    <row r="26" ht="16" customHeight="1">
      <c r="B26" s="306" t="n">
        <v>4</v>
      </c>
      <c r="C26" s="286" t="inlineStr">
        <is>
          <t>HIGH</t>
        </is>
      </c>
      <c r="D26" s="307" t="inlineStr">
        <is>
          <t>Liquidity Concentration</t>
        </is>
      </c>
      <c r="E26" s="308" t="inlineStr">
        <is>
          <t>100% of liquid assets in 2 digital banks (Inter + MP = …</t>
        </is>
      </c>
      <c r="F26" s="107" t="n"/>
      <c r="G26" s="107" t="n"/>
      <c r="H26" s="108" t="n"/>
      <c r="I26" s="309" t="n">
        <v>23196.9</v>
      </c>
      <c r="J26" s="307" t="inlineStr">
        <is>
          <t>⏳ Pending</t>
        </is>
      </c>
    </row>
    <row r="27" ht="16" customHeight="1">
      <c r="B27" s="306" t="n">
        <v>5</v>
      </c>
      <c r="C27" s="286" t="inlineStr">
        <is>
          <t>HIGH</t>
        </is>
      </c>
      <c r="D27" s="307" t="inlineStr">
        <is>
          <t>IOF + FX Cost</t>
        </is>
      </c>
      <c r="E27" s="308" t="inlineStr">
        <is>
          <t>R$0 IOF paid on FX operations. R$0 total câmbio through…</t>
        </is>
      </c>
      <c r="F27" s="107" t="n"/>
      <c r="G27" s="107" t="n"/>
      <c r="H27" s="108" t="n"/>
      <c r="I27" s="310" t="inlineStr">
        <is>
          <t>—</t>
        </is>
      </c>
      <c r="J27" s="307" t="inlineStr">
        <is>
          <t>⏳ Pending</t>
        </is>
      </c>
    </row>
    <row r="28" ht="16" customHeight="1">
      <c r="B28" s="306" t="n">
        <v>6</v>
      </c>
      <c r="C28" s="286" t="inlineStr">
        <is>
          <t>HIGH</t>
        </is>
      </c>
      <c r="D28" s="307" t="inlineStr">
        <is>
          <t>IB Withdrawal Unconfirmed</t>
        </is>
      </c>
      <c r="E28" s="308" t="inlineStr">
        <is>
          <t>R$19,196 IB withdrawal via Wise Jun/2026 (91992). Desti…</t>
        </is>
      </c>
      <c r="F28" s="107" t="n"/>
      <c r="G28" s="107" t="n"/>
      <c r="H28" s="108" t="n"/>
      <c r="I28" s="309" t="n">
        <v>19195.81</v>
      </c>
      <c r="J28" s="307" t="inlineStr">
        <is>
          <t>⏳ Pending</t>
        </is>
      </c>
    </row>
    <row r="29" ht="16" customHeight="1">
      <c r="B29" s="306" t="n">
        <v>7</v>
      </c>
      <c r="C29" s="286" t="inlineStr">
        <is>
          <t>HIGH</t>
        </is>
      </c>
      <c r="D29" s="307" t="inlineStr">
        <is>
          <t>Lottery/Gambling Spend</t>
        </is>
      </c>
      <c r="E29" s="308" t="inlineStr">
        <is>
          <t>R$6,455 in Loteria charges on MP card 2026. No budget c…</t>
        </is>
      </c>
      <c r="F29" s="107" t="n"/>
      <c r="G29" s="107" t="n"/>
      <c r="H29" s="108" t="n"/>
      <c r="I29" s="309" t="n">
        <v>6455.1</v>
      </c>
      <c r="J29" s="307" t="inlineStr">
        <is>
          <t>⏳ Pending</t>
        </is>
      </c>
    </row>
    <row r="31">
      <c r="B31" s="282" t="inlineStr">
        <is>
          <t>KPI tiles wired: 15 live → CALC · MoM arrows: 5 signals · Alerts: live → 08 ALERTS · Built Jul 2026</t>
        </is>
      </c>
    </row>
  </sheetData>
  <mergeCells count="55">
    <mergeCell ref="F11:G11"/>
    <mergeCell ref="B16:C16"/>
    <mergeCell ref="E26:H26"/>
    <mergeCell ref="D10:E10"/>
    <mergeCell ref="J5:K5"/>
    <mergeCell ref="B9:N9"/>
    <mergeCell ref="F10:G10"/>
    <mergeCell ref="H10:I10"/>
    <mergeCell ref="F16:G16"/>
    <mergeCell ref="L16:M16"/>
    <mergeCell ref="J10:K10"/>
    <mergeCell ref="B8:M8"/>
    <mergeCell ref="F6:G6"/>
    <mergeCell ref="E25:H25"/>
    <mergeCell ref="E27:H27"/>
    <mergeCell ref="E22:H22"/>
    <mergeCell ref="D6:E6"/>
    <mergeCell ref="A2:O2"/>
    <mergeCell ref="H6:I6"/>
    <mergeCell ref="B11:C11"/>
    <mergeCell ref="J6:K6"/>
    <mergeCell ref="F15:G15"/>
    <mergeCell ref="D11:E11"/>
    <mergeCell ref="B4:N4"/>
    <mergeCell ref="F5:G5"/>
    <mergeCell ref="J15:K15"/>
    <mergeCell ref="L15:M15"/>
    <mergeCell ref="L5:M5"/>
    <mergeCell ref="E24:H24"/>
    <mergeCell ref="H11:I11"/>
    <mergeCell ref="D16:E16"/>
    <mergeCell ref="E23:H23"/>
    <mergeCell ref="J11:K11"/>
    <mergeCell ref="H16:I16"/>
    <mergeCell ref="B20:M20"/>
    <mergeCell ref="J16:K16"/>
    <mergeCell ref="L10:M10"/>
    <mergeCell ref="B10:C10"/>
    <mergeCell ref="E29:H29"/>
    <mergeCell ref="E28:H28"/>
    <mergeCell ref="B6:C6"/>
    <mergeCell ref="B14:N14"/>
    <mergeCell ref="B16:M16"/>
    <mergeCell ref="B15:C15"/>
    <mergeCell ref="L6:M6"/>
    <mergeCell ref="D15:E15"/>
    <mergeCell ref="B5:C5"/>
    <mergeCell ref="B31:M31"/>
    <mergeCell ref="D5:E5"/>
    <mergeCell ref="H15:I15"/>
    <mergeCell ref="A1:O1"/>
    <mergeCell ref="L11:M11"/>
    <mergeCell ref="H5:I5"/>
    <mergeCell ref="B19:N19"/>
    <mergeCell ref="B12:M1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63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0" customHeight="1">
      <c r="B1" s="104" t="inlineStr">
        <is>
          <t>CALC — Single Source of Truth · financas-2026 · Eduardo Forster Giovannini</t>
        </is>
      </c>
    </row>
    <row r="2">
      <c r="B2" s="105" t="inlineStr">
        <is>
          <t>Built 2026-07-14 · All values sourced from financas2026-DataEntry.xlsx</t>
        </is>
      </c>
    </row>
    <row r="4" ht="16" customHeight="1">
      <c r="B4" s="194" t="inlineStr">
        <is>
          <t>SECTION 1 · BANK BALANCES — Confirmed 13/Jul/2026</t>
        </is>
      </c>
      <c r="C4" s="107" t="n"/>
      <c r="D4" s="107" t="n"/>
      <c r="E4" s="107" t="n"/>
      <c r="F4" s="107" t="n"/>
      <c r="G4" s="107" t="n"/>
      <c r="H4" s="107" t="n"/>
      <c r="I4" s="107" t="n"/>
      <c r="J4" s="108" t="n"/>
    </row>
    <row r="5">
      <c r="B5" s="195" t="inlineStr">
        <is>
          <t>Institution</t>
        </is>
      </c>
      <c r="C5" s="195" t="inlineStr">
        <is>
          <t>Balance (BRL)</t>
        </is>
      </c>
      <c r="D5" s="195" t="inlineStr">
        <is>
          <t>Prev Balance</t>
        </is>
      </c>
      <c r="E5" s="195" t="inlineStr">
        <is>
          <t>Type</t>
        </is>
      </c>
      <c r="F5" s="195" t="inlineStr">
        <is>
          <t>Confirmed</t>
        </is>
      </c>
      <c r="G5" s="195" t="inlineStr">
        <is>
          <t>Status</t>
        </is>
      </c>
    </row>
    <row r="6">
      <c r="B6" s="243" t="inlineStr">
        <is>
          <t>Banco Inter</t>
        </is>
      </c>
      <c r="C6" s="236" t="n">
        <v>18934.67</v>
      </c>
      <c r="D6" s="219" t="n">
        <v>42112.59</v>
      </c>
      <c r="E6" s="243" t="inlineStr">
        <is>
          <t>Digital</t>
        </is>
      </c>
      <c r="F6" s="233" t="inlineStr">
        <is>
          <t>13/Jul/2026</t>
        </is>
      </c>
      <c r="G6" s="206" t="inlineStr">
        <is>
          <t>CONFIRMED</t>
        </is>
      </c>
    </row>
    <row r="7">
      <c r="B7" s="247" t="inlineStr">
        <is>
          <t>Mercado Pago</t>
        </is>
      </c>
      <c r="C7" s="241" t="n">
        <v>4262.23</v>
      </c>
      <c r="D7" s="222" t="n">
        <v>10102.81</v>
      </c>
      <c r="E7" s="247" t="inlineStr">
        <is>
          <t>Digital</t>
        </is>
      </c>
      <c r="F7" s="238" t="inlineStr">
        <is>
          <t>12/Jul/2026</t>
        </is>
      </c>
      <c r="G7" s="208" t="inlineStr">
        <is>
          <t>CONFIRMED</t>
        </is>
      </c>
    </row>
    <row r="8">
      <c r="B8" s="243" t="inlineStr">
        <is>
          <t>BB Brasil</t>
        </is>
      </c>
      <c r="C8" s="219" t="n">
        <v>0</v>
      </c>
      <c r="D8" s="219" t="n">
        <v>0</v>
      </c>
      <c r="E8" s="243" t="inlineStr">
        <is>
          <t>Checking</t>
        </is>
      </c>
      <c r="F8" s="233" t="inlineStr">
        <is>
          <t>13/Jul/2026</t>
        </is>
      </c>
      <c r="G8" s="206" t="inlineStr">
        <is>
          <t>CONFIRMED</t>
        </is>
      </c>
    </row>
    <row r="9">
      <c r="B9" s="247" t="inlineStr">
        <is>
          <t>BCB Registrato</t>
        </is>
      </c>
      <c r="C9" s="222" t="n">
        <v>0</v>
      </c>
      <c r="D9" s="222" t="n">
        <v>0</v>
      </c>
      <c r="E9" s="247" t="inlineStr">
        <is>
          <t>Registry</t>
        </is>
      </c>
      <c r="F9" s="238" t="inlineStr">
        <is>
          <t>29/Jun/2026</t>
        </is>
      </c>
      <c r="G9" s="208" t="inlineStr">
        <is>
          <t>REGISTRY</t>
        </is>
      </c>
    </row>
    <row r="10">
      <c r="B10" s="120" t="inlineStr">
        <is>
          <t>TOTAL LIQUID</t>
        </is>
      </c>
      <c r="C10" s="121">
        <f>SUM(C6:C9)</f>
        <v/>
      </c>
    </row>
    <row r="12">
      <c r="B12" s="194" t="inlineStr">
        <is>
          <t>SECTION 2 · FX OPERATIONS — BCB Câmbio · Jan–Jun 2026 (35 operations)</t>
        </is>
      </c>
      <c r="C12" s="107" t="n"/>
      <c r="D12" s="107" t="n"/>
      <c r="E12" s="107" t="n"/>
      <c r="F12" s="107" t="n"/>
      <c r="G12" s="107" t="n"/>
      <c r="H12" s="107" t="n"/>
      <c r="I12" s="107" t="n"/>
      <c r="J12" s="108" t="n"/>
    </row>
    <row r="13">
      <c r="B13" s="195" t="inlineStr">
        <is>
          <t>Date</t>
        </is>
      </c>
      <c r="C13" s="195" t="inlineStr">
        <is>
          <t>Institution</t>
        </is>
      </c>
      <c r="D13" s="195" t="inlineStr">
        <is>
          <t>Destination</t>
        </is>
      </c>
      <c r="E13" s="195" t="inlineStr">
        <is>
          <t>FCY Amt</t>
        </is>
      </c>
      <c r="F13" s="195" t="inlineStr">
        <is>
          <t>BRL Amount</t>
        </is>
      </c>
      <c r="G13" s="195" t="inlineStr">
        <is>
          <t>CCY</t>
        </is>
      </c>
      <c r="H13" s="195" t="inlineStr">
        <is>
          <t>Direction</t>
        </is>
      </c>
      <c r="I13" s="195" t="inlineStr">
        <is>
          <t>FX Rate</t>
        </is>
      </c>
      <c r="J13" s="195" t="inlineStr">
        <is>
          <t>Nature</t>
        </is>
      </c>
    </row>
    <row r="14">
      <c r="B14" s="233" t="inlineStr">
        <is>
          <t>2026-01-26</t>
        </is>
      </c>
      <c r="C14" s="243" t="inlineStr">
        <is>
          <t>Banco Topázio</t>
        </is>
      </c>
      <c r="D14" s="243" t="inlineStr">
        <is>
          <t>Interactive Brokers</t>
        </is>
      </c>
      <c r="E14" s="122" t="n">
        <v>200</v>
      </c>
      <c r="F14" s="236" t="n">
        <v>1071.22</v>
      </c>
      <c r="G14" s="233" t="inlineStr">
        <is>
          <t>USD</t>
        </is>
      </c>
      <c r="H14" s="206" t="inlineStr">
        <is>
          <t>IB Deposit</t>
        </is>
      </c>
      <c r="I14" s="123" t="n">
        <v>5.3561</v>
      </c>
      <c r="J14" s="243" t="inlineStr">
        <is>
          <t>91992 IB deposit</t>
        </is>
      </c>
    </row>
    <row r="15">
      <c r="B15" s="238" t="inlineStr">
        <is>
          <t>2026-01-27</t>
        </is>
      </c>
      <c r="C15" s="247" t="inlineStr">
        <is>
          <t>BB Brasil</t>
        </is>
      </c>
      <c r="D15" s="247" t="inlineStr">
        <is>
          <t>USA - Own Account</t>
        </is>
      </c>
      <c r="E15" s="124" t="n">
        <v>3000</v>
      </c>
      <c r="F15" s="239" t="n">
        <v>15886.01</v>
      </c>
      <c r="G15" s="238" t="inlineStr">
        <is>
          <t>USD</t>
        </is>
      </c>
      <c r="H15" s="214" t="inlineStr">
        <is>
          <t>Outbound</t>
        </is>
      </c>
      <c r="I15" s="127" t="n">
        <v>5.2953</v>
      </c>
      <c r="J15" s="247" t="inlineStr">
        <is>
          <t>67995 Self-transfer</t>
        </is>
      </c>
    </row>
    <row r="16">
      <c r="B16" s="233" t="inlineStr">
        <is>
          <t>2026-01-30</t>
        </is>
      </c>
      <c r="C16" s="243" t="inlineStr">
        <is>
          <t>BB Brasil</t>
        </is>
      </c>
      <c r="D16" s="243" t="inlineStr">
        <is>
          <t>USA - Own Account</t>
        </is>
      </c>
      <c r="E16" s="128" t="n">
        <v>3000</v>
      </c>
      <c r="F16" s="234" t="n">
        <v>16063.89</v>
      </c>
      <c r="G16" s="233" t="inlineStr">
        <is>
          <t>USD</t>
        </is>
      </c>
      <c r="H16" s="210" t="inlineStr">
        <is>
          <t>Outbound</t>
        </is>
      </c>
      <c r="I16" s="123" t="n">
        <v>5.3546</v>
      </c>
      <c r="J16" s="243" t="inlineStr">
        <is>
          <t>67995 Self-transfer</t>
        </is>
      </c>
    </row>
    <row r="17">
      <c r="B17" s="238" t="inlineStr">
        <is>
          <t>2026-02-09</t>
        </is>
      </c>
      <c r="C17" s="247" t="inlineStr">
        <is>
          <t>BB Brasil</t>
        </is>
      </c>
      <c r="D17" s="247" t="inlineStr">
        <is>
          <t>USA - Own Account</t>
        </is>
      </c>
      <c r="E17" s="124" t="n">
        <v>3000</v>
      </c>
      <c r="F17" s="239" t="n">
        <v>15868.79</v>
      </c>
      <c r="G17" s="238" t="inlineStr">
        <is>
          <t>USD</t>
        </is>
      </c>
      <c r="H17" s="214" t="inlineStr">
        <is>
          <t>Outbound</t>
        </is>
      </c>
      <c r="I17" s="127" t="n">
        <v>5.2896</v>
      </c>
      <c r="J17" s="247" t="inlineStr">
        <is>
          <t>67995 Self-transfer</t>
        </is>
      </c>
    </row>
    <row r="18">
      <c r="B18" s="233" t="inlineStr">
        <is>
          <t>2026-02-11</t>
        </is>
      </c>
      <c r="C18" s="243" t="inlineStr">
        <is>
          <t>BB Brasil</t>
        </is>
      </c>
      <c r="D18" s="243" t="inlineStr">
        <is>
          <t>USA - Own Account</t>
        </is>
      </c>
      <c r="E18" s="128" t="n">
        <v>3000</v>
      </c>
      <c r="F18" s="234" t="n">
        <v>15789.96</v>
      </c>
      <c r="G18" s="233" t="inlineStr">
        <is>
          <t>USD</t>
        </is>
      </c>
      <c r="H18" s="210" t="inlineStr">
        <is>
          <t>Outbound</t>
        </is>
      </c>
      <c r="I18" s="123" t="n">
        <v>5.2633</v>
      </c>
      <c r="J18" s="243" t="inlineStr">
        <is>
          <t>67995 Self-transfer</t>
        </is>
      </c>
    </row>
    <row r="19">
      <c r="B19" s="238" t="inlineStr">
        <is>
          <t>2026-03-03</t>
        </is>
      </c>
      <c r="C19" s="247" t="inlineStr">
        <is>
          <t>BB Brasil</t>
        </is>
      </c>
      <c r="D19" s="247" t="inlineStr">
        <is>
          <t>USA - Own Account</t>
        </is>
      </c>
      <c r="E19" s="124" t="n">
        <v>3000</v>
      </c>
      <c r="F19" s="239" t="n">
        <v>16024.35</v>
      </c>
      <c r="G19" s="238" t="inlineStr">
        <is>
          <t>USD</t>
        </is>
      </c>
      <c r="H19" s="214" t="inlineStr">
        <is>
          <t>Outbound</t>
        </is>
      </c>
      <c r="I19" s="127" t="n">
        <v>5.3414</v>
      </c>
      <c r="J19" s="247" t="inlineStr">
        <is>
          <t>67995 Self-transfer</t>
        </is>
      </c>
    </row>
    <row r="20">
      <c r="B20" s="233" t="inlineStr">
        <is>
          <t>2026-03-13</t>
        </is>
      </c>
      <c r="C20" s="243" t="inlineStr">
        <is>
          <t>BB Brasil</t>
        </is>
      </c>
      <c r="D20" s="243" t="inlineStr">
        <is>
          <t>USA - Own Account</t>
        </is>
      </c>
      <c r="E20" s="128" t="n">
        <v>3000</v>
      </c>
      <c r="F20" s="234" t="n">
        <v>15877.18</v>
      </c>
      <c r="G20" s="233" t="inlineStr">
        <is>
          <t>USD</t>
        </is>
      </c>
      <c r="H20" s="210" t="inlineStr">
        <is>
          <t>Outbound</t>
        </is>
      </c>
      <c r="I20" s="123" t="n">
        <v>5.2924</v>
      </c>
      <c r="J20" s="243" t="inlineStr">
        <is>
          <t>67995 Self-transfer</t>
        </is>
      </c>
    </row>
    <row r="21">
      <c r="B21" s="238" t="inlineStr">
        <is>
          <t>2026-03-18</t>
        </is>
      </c>
      <c r="C21" s="247" t="inlineStr">
        <is>
          <t>BB Brasil</t>
        </is>
      </c>
      <c r="D21" s="247" t="inlineStr">
        <is>
          <t>USA - Own Account</t>
        </is>
      </c>
      <c r="E21" s="124" t="n">
        <v>3000</v>
      </c>
      <c r="F21" s="239" t="n">
        <v>15963.15</v>
      </c>
      <c r="G21" s="238" t="inlineStr">
        <is>
          <t>USD</t>
        </is>
      </c>
      <c r="H21" s="214" t="inlineStr">
        <is>
          <t>Outbound</t>
        </is>
      </c>
      <c r="I21" s="127" t="n">
        <v>5.3211</v>
      </c>
      <c r="J21" s="247" t="inlineStr">
        <is>
          <t>67995 Self-transfer</t>
        </is>
      </c>
    </row>
    <row r="22">
      <c r="B22" s="233" t="inlineStr">
        <is>
          <t>2026-04-22</t>
        </is>
      </c>
      <c r="C22" s="243" t="inlineStr">
        <is>
          <t>BB Brasil</t>
        </is>
      </c>
      <c r="D22" s="243" t="inlineStr">
        <is>
          <t>USA - Own Account</t>
        </is>
      </c>
      <c r="E22" s="128" t="n">
        <v>3000</v>
      </c>
      <c r="F22" s="234" t="n">
        <v>15878.08</v>
      </c>
      <c r="G22" s="233" t="inlineStr">
        <is>
          <t>USD</t>
        </is>
      </c>
      <c r="H22" s="210" t="inlineStr">
        <is>
          <t>Outbound</t>
        </is>
      </c>
      <c r="I22" s="123" t="n">
        <v>5.2927</v>
      </c>
      <c r="J22" s="243" t="inlineStr">
        <is>
          <t>67995 Self-transfer</t>
        </is>
      </c>
    </row>
    <row r="23">
      <c r="B23" s="238" t="inlineStr">
        <is>
          <t>2026-04-30</t>
        </is>
      </c>
      <c r="C23" s="247" t="inlineStr">
        <is>
          <t>Banco Topázio</t>
        </is>
      </c>
      <c r="D23" s="247" t="inlineStr">
        <is>
          <t>Interactive Brokers</t>
        </is>
      </c>
      <c r="E23" s="131" t="n">
        <v>100</v>
      </c>
      <c r="F23" s="241" t="n">
        <v>503.62</v>
      </c>
      <c r="G23" s="238" t="inlineStr">
        <is>
          <t>USD</t>
        </is>
      </c>
      <c r="H23" s="208" t="inlineStr">
        <is>
          <t>IB Deposit</t>
        </is>
      </c>
      <c r="I23" s="127" t="n">
        <v>5.0362</v>
      </c>
      <c r="J23" s="247" t="inlineStr">
        <is>
          <t>91992 IB deposit</t>
        </is>
      </c>
    </row>
    <row r="24">
      <c r="B24" s="233" t="inlineStr">
        <is>
          <t>2026-05-07</t>
        </is>
      </c>
      <c r="C24" s="243" t="inlineStr">
        <is>
          <t>BB Brasil</t>
        </is>
      </c>
      <c r="D24" s="243" t="inlineStr">
        <is>
          <t>USA - Own Account</t>
        </is>
      </c>
      <c r="E24" s="128" t="n">
        <v>3000</v>
      </c>
      <c r="F24" s="234" t="n">
        <v>15132.89</v>
      </c>
      <c r="G24" s="233" t="inlineStr">
        <is>
          <t>USD</t>
        </is>
      </c>
      <c r="H24" s="210" t="inlineStr">
        <is>
          <t>Outbound</t>
        </is>
      </c>
      <c r="I24" s="123" t="n">
        <v>5.0443</v>
      </c>
      <c r="J24" s="243" t="inlineStr">
        <is>
          <t>67995 Self-transfer</t>
        </is>
      </c>
    </row>
    <row r="25">
      <c r="B25" s="238" t="inlineStr">
        <is>
          <t>2026-05-07</t>
        </is>
      </c>
      <c r="C25" s="247" t="inlineStr">
        <is>
          <t>Banco Inter</t>
        </is>
      </c>
      <c r="D25" s="247" t="inlineStr">
        <is>
          <t>USA - Own Account</t>
        </is>
      </c>
      <c r="E25" s="124" t="n">
        <v>5000</v>
      </c>
      <c r="F25" s="239" t="n">
        <v>24939.84</v>
      </c>
      <c r="G25" s="238" t="inlineStr">
        <is>
          <t>USD</t>
        </is>
      </c>
      <c r="H25" s="214" t="inlineStr">
        <is>
          <t>Outbound</t>
        </is>
      </c>
      <c r="I25" s="127" t="n">
        <v>4.988</v>
      </c>
      <c r="J25" s="247" t="inlineStr">
        <is>
          <t>67995 Self-transfer via Inter</t>
        </is>
      </c>
    </row>
    <row r="26">
      <c r="B26" s="233" t="inlineStr">
        <is>
          <t>2026-05-11</t>
        </is>
      </c>
      <c r="C26" s="243" t="inlineStr">
        <is>
          <t>Banco Inter</t>
        </is>
      </c>
      <c r="D26" s="243" t="inlineStr">
        <is>
          <t>USA - Own Account</t>
        </is>
      </c>
      <c r="E26" s="128" t="n">
        <v>15000</v>
      </c>
      <c r="F26" s="234" t="n">
        <v>74340.39999999999</v>
      </c>
      <c r="G26" s="233" t="inlineStr">
        <is>
          <t>USD</t>
        </is>
      </c>
      <c r="H26" s="210" t="inlineStr">
        <is>
          <t>Outbound</t>
        </is>
      </c>
      <c r="I26" s="123" t="n">
        <v>4.956</v>
      </c>
      <c r="J26" s="243" t="inlineStr">
        <is>
          <t>67995 Self-transfer via Inter</t>
        </is>
      </c>
    </row>
    <row r="27">
      <c r="B27" s="238" t="inlineStr">
        <is>
          <t>2026-05-15</t>
        </is>
      </c>
      <c r="C27" s="247" t="inlineStr">
        <is>
          <t>BB Brasil</t>
        </is>
      </c>
      <c r="D27" s="247" t="inlineStr">
        <is>
          <t>USA - Own Account</t>
        </is>
      </c>
      <c r="E27" s="124" t="n">
        <v>500</v>
      </c>
      <c r="F27" s="239" t="n">
        <v>2577.87</v>
      </c>
      <c r="G27" s="238" t="inlineStr">
        <is>
          <t>USD</t>
        </is>
      </c>
      <c r="H27" s="214" t="inlineStr">
        <is>
          <t>Outbound</t>
        </is>
      </c>
      <c r="I27" s="127" t="n">
        <v>5.1558</v>
      </c>
      <c r="J27" s="247" t="inlineStr">
        <is>
          <t>67995 Self-transfer</t>
        </is>
      </c>
    </row>
    <row r="28">
      <c r="B28" s="233" t="inlineStr">
        <is>
          <t>2026-05-15</t>
        </is>
      </c>
      <c r="C28" s="243" t="inlineStr">
        <is>
          <t>Wise Brasil</t>
        </is>
      </c>
      <c r="D28" s="243" t="inlineStr">
        <is>
          <t>UK - Eduardo Giovannini</t>
        </is>
      </c>
      <c r="E28" s="128" t="n">
        <v>250</v>
      </c>
      <c r="F28" s="234" t="n">
        <v>1246.27</v>
      </c>
      <c r="G28" s="233" t="inlineStr">
        <is>
          <t>USD</t>
        </is>
      </c>
      <c r="H28" s="210" t="inlineStr">
        <is>
          <t>Outbound</t>
        </is>
      </c>
      <c r="I28" s="123" t="n">
        <v>4.9851</v>
      </c>
      <c r="J28" s="243" t="inlineStr">
        <is>
          <t>67995 Wise UK</t>
        </is>
      </c>
    </row>
    <row r="29">
      <c r="B29" s="238" t="inlineStr">
        <is>
          <t>2026-05-18</t>
        </is>
      </c>
      <c r="C29" s="247" t="inlineStr">
        <is>
          <t>BB Brasil</t>
        </is>
      </c>
      <c r="D29" s="247" t="inlineStr">
        <is>
          <t>USA - Own Account</t>
        </is>
      </c>
      <c r="E29" s="124" t="n">
        <v>200</v>
      </c>
      <c r="F29" s="239" t="n">
        <v>1019.15</v>
      </c>
      <c r="G29" s="238" t="inlineStr">
        <is>
          <t>USD</t>
        </is>
      </c>
      <c r="H29" s="214" t="inlineStr">
        <is>
          <t>Outbound</t>
        </is>
      </c>
      <c r="I29" s="127" t="n">
        <v>5.0958</v>
      </c>
      <c r="J29" s="247" t="inlineStr">
        <is>
          <t>67995 Self-transfer</t>
        </is>
      </c>
    </row>
    <row r="30">
      <c r="B30" s="233" t="inlineStr">
        <is>
          <t>2026-05-18</t>
        </is>
      </c>
      <c r="C30" s="243" t="inlineStr">
        <is>
          <t>Wise Brasil</t>
        </is>
      </c>
      <c r="D30" s="243" t="inlineStr">
        <is>
          <t>Interactive Brokers</t>
        </is>
      </c>
      <c r="E30" s="122" t="n">
        <v>3834.82</v>
      </c>
      <c r="F30" s="236" t="n">
        <v>19195.81</v>
      </c>
      <c r="G30" s="233" t="inlineStr">
        <is>
          <t>USD</t>
        </is>
      </c>
      <c r="H30" s="206" t="inlineStr">
        <is>
          <t>IB Deposit</t>
        </is>
      </c>
      <c r="I30" s="123" t="n">
        <v>5.0056</v>
      </c>
      <c r="J30" s="243" t="inlineStr">
        <is>
          <t>91992 IB via Wise</t>
        </is>
      </c>
    </row>
    <row r="31">
      <c r="B31" s="238" t="inlineStr">
        <is>
          <t>2026-05-19</t>
        </is>
      </c>
      <c r="C31" s="247" t="inlineStr">
        <is>
          <t>Banco Topázio</t>
        </is>
      </c>
      <c r="D31" s="247" t="inlineStr">
        <is>
          <t>Interactive Brokers</t>
        </is>
      </c>
      <c r="E31" s="131" t="n">
        <v>1000</v>
      </c>
      <c r="F31" s="241" t="n">
        <v>5114.85</v>
      </c>
      <c r="G31" s="238" t="inlineStr">
        <is>
          <t>USD</t>
        </is>
      </c>
      <c r="H31" s="208" t="inlineStr">
        <is>
          <t>IB Deposit</t>
        </is>
      </c>
      <c r="I31" s="127" t="n">
        <v>5.1149</v>
      </c>
      <c r="J31" s="247" t="inlineStr">
        <is>
          <t>91992 IB deposit</t>
        </is>
      </c>
    </row>
    <row r="32">
      <c r="B32" s="233" t="inlineStr">
        <is>
          <t>2026-05-20</t>
        </is>
      </c>
      <c r="C32" s="243" t="inlineStr">
        <is>
          <t>Banco Topázio</t>
        </is>
      </c>
      <c r="D32" s="243" t="inlineStr">
        <is>
          <t>Interactive Brokers</t>
        </is>
      </c>
      <c r="E32" s="122" t="n">
        <v>6212.32</v>
      </c>
      <c r="F32" s="236" t="n">
        <v>31651.83</v>
      </c>
      <c r="G32" s="233" t="inlineStr">
        <is>
          <t>USD</t>
        </is>
      </c>
      <c r="H32" s="206" t="inlineStr">
        <is>
          <t>IB Deposit</t>
        </is>
      </c>
      <c r="I32" s="123" t="n">
        <v>5.0949</v>
      </c>
      <c r="J32" s="243" t="inlineStr">
        <is>
          <t>91992 IB deposit</t>
        </is>
      </c>
    </row>
    <row r="33">
      <c r="B33" s="238" t="inlineStr">
        <is>
          <t>2026-05-22</t>
        </is>
      </c>
      <c r="C33" s="247" t="inlineStr">
        <is>
          <t>Banco Topázio</t>
        </is>
      </c>
      <c r="D33" s="247" t="inlineStr">
        <is>
          <t>Fundos investimento BRL</t>
        </is>
      </c>
      <c r="E33" s="132" t="n">
        <v>0</v>
      </c>
      <c r="F33" s="133" t="n">
        <v>45000</v>
      </c>
      <c r="G33" s="238" t="inlineStr">
        <is>
          <t>BRL</t>
        </is>
      </c>
      <c r="H33" s="248" t="inlineStr">
        <is>
          <t>Fund Deposit</t>
        </is>
      </c>
      <c r="I33" s="127" t="n">
        <v>0</v>
      </c>
      <c r="J33" s="247" t="inlineStr">
        <is>
          <t>67043 Fund capital</t>
        </is>
      </c>
    </row>
    <row r="34">
      <c r="B34" s="233" t="inlineStr">
        <is>
          <t>2026-05-26</t>
        </is>
      </c>
      <c r="C34" s="243" t="inlineStr">
        <is>
          <t>BB Brasil</t>
        </is>
      </c>
      <c r="D34" s="243" t="inlineStr">
        <is>
          <t>USA - Own Account</t>
        </is>
      </c>
      <c r="E34" s="128" t="n">
        <v>10000</v>
      </c>
      <c r="F34" s="234" t="n">
        <v>51027.68</v>
      </c>
      <c r="G34" s="233" t="inlineStr">
        <is>
          <t>USD</t>
        </is>
      </c>
      <c r="H34" s="210" t="inlineStr">
        <is>
          <t>Outbound</t>
        </is>
      </c>
      <c r="I34" s="123" t="n">
        <v>5.1028</v>
      </c>
      <c r="J34" s="243" t="inlineStr">
        <is>
          <t>67995 Self-transfer</t>
        </is>
      </c>
    </row>
    <row r="35">
      <c r="B35" s="238" t="inlineStr">
        <is>
          <t>2026-05-28</t>
        </is>
      </c>
      <c r="C35" s="247" t="inlineStr">
        <is>
          <t>BB Brasil</t>
        </is>
      </c>
      <c r="D35" s="247" t="inlineStr">
        <is>
          <t>USA - Own Account</t>
        </is>
      </c>
      <c r="E35" s="124" t="n">
        <v>5000</v>
      </c>
      <c r="F35" s="239" t="n">
        <v>25650.76</v>
      </c>
      <c r="G35" s="238" t="inlineStr">
        <is>
          <t>USD</t>
        </is>
      </c>
      <c r="H35" s="214" t="inlineStr">
        <is>
          <t>Outbound</t>
        </is>
      </c>
      <c r="I35" s="127" t="n">
        <v>5.1302</v>
      </c>
      <c r="J35" s="247" t="inlineStr">
        <is>
          <t>67995 Self-transfer</t>
        </is>
      </c>
    </row>
    <row r="36">
      <c r="B36" s="233" t="inlineStr">
        <is>
          <t>2026-05-28</t>
        </is>
      </c>
      <c r="C36" s="243" t="inlineStr">
        <is>
          <t>Banco Topázio</t>
        </is>
      </c>
      <c r="D36" s="243" t="inlineStr">
        <is>
          <t>Interactive Brokers</t>
        </is>
      </c>
      <c r="E36" s="122" t="n">
        <v>20000</v>
      </c>
      <c r="F36" s="236" t="n">
        <v>101772.38</v>
      </c>
      <c r="G36" s="233" t="inlineStr">
        <is>
          <t>USD</t>
        </is>
      </c>
      <c r="H36" s="206" t="inlineStr">
        <is>
          <t>IB Deposit</t>
        </is>
      </c>
      <c r="I36" s="123" t="n">
        <v>5.0886</v>
      </c>
      <c r="J36" s="243" t="inlineStr">
        <is>
          <t>91992 IB deposit</t>
        </is>
      </c>
    </row>
    <row r="37">
      <c r="B37" s="238" t="inlineStr">
        <is>
          <t>2026-06-05</t>
        </is>
      </c>
      <c r="C37" s="247" t="inlineStr">
        <is>
          <t>Wise Brasil</t>
        </is>
      </c>
      <c r="D37" s="247" t="inlineStr">
        <is>
          <t>UK - Eduardo Giovannini</t>
        </is>
      </c>
      <c r="E37" s="124" t="n">
        <v>100</v>
      </c>
      <c r="F37" s="239" t="n">
        <v>514.21</v>
      </c>
      <c r="G37" s="238" t="inlineStr">
        <is>
          <t>USD</t>
        </is>
      </c>
      <c r="H37" s="214" t="inlineStr">
        <is>
          <t>Outbound</t>
        </is>
      </c>
      <c r="I37" s="127" t="n">
        <v>5.1421</v>
      </c>
      <c r="J37" s="247" t="inlineStr">
        <is>
          <t>67995 Wise UK</t>
        </is>
      </c>
    </row>
    <row r="38">
      <c r="B38" s="233" t="inlineStr">
        <is>
          <t>2026-06-05</t>
        </is>
      </c>
      <c r="C38" s="243" t="inlineStr">
        <is>
          <t>Banco Topázio</t>
        </is>
      </c>
      <c r="D38" s="243" t="inlineStr">
        <is>
          <t>Fundos investimento BRL</t>
        </is>
      </c>
      <c r="E38" s="135" t="n">
        <v>0</v>
      </c>
      <c r="F38" s="136" t="n">
        <v>78323.92</v>
      </c>
      <c r="G38" s="233" t="inlineStr">
        <is>
          <t>BRL</t>
        </is>
      </c>
      <c r="H38" s="244" t="inlineStr">
        <is>
          <t>Fund Deposit</t>
        </is>
      </c>
      <c r="I38" s="123" t="n">
        <v>0</v>
      </c>
      <c r="J38" s="243" t="inlineStr">
        <is>
          <t>67043 Fund capital</t>
        </is>
      </c>
    </row>
    <row r="39">
      <c r="B39" s="238" t="inlineStr">
        <is>
          <t>2026-06-05</t>
        </is>
      </c>
      <c r="C39" s="247" t="inlineStr">
        <is>
          <t>BB Brasil</t>
        </is>
      </c>
      <c r="D39" s="247" t="inlineStr">
        <is>
          <t>USA → Eduardo Forster Giovannini</t>
        </is>
      </c>
      <c r="E39" s="138" t="n">
        <v>0</v>
      </c>
      <c r="F39" s="139" t="n">
        <v>73857</v>
      </c>
      <c r="G39" s="238" t="inlineStr">
        <is>
          <t>BRL</t>
        </is>
      </c>
      <c r="H39" s="218" t="inlineStr">
        <is>
          <t>Inbound</t>
        </is>
      </c>
      <c r="I39" s="127" t="n">
        <v>0</v>
      </c>
      <c r="J39" s="247" t="inlineStr">
        <is>
          <t>72629 Inbound from USA</t>
        </is>
      </c>
    </row>
    <row r="40">
      <c r="B40" s="233" t="inlineStr">
        <is>
          <t>2026-06-16</t>
        </is>
      </c>
      <c r="C40" s="243" t="inlineStr">
        <is>
          <t>Ouribank</t>
        </is>
      </c>
      <c r="D40" s="243" t="inlineStr">
        <is>
          <t>Inbound payment order</t>
        </is>
      </c>
      <c r="E40" s="141" t="n">
        <v>0</v>
      </c>
      <c r="F40" s="142" t="n">
        <v>25000</v>
      </c>
      <c r="G40" s="233" t="inlineStr">
        <is>
          <t>BRL</t>
        </is>
      </c>
      <c r="H40" s="143" t="inlineStr">
        <is>
          <t>Inbound</t>
        </is>
      </c>
      <c r="I40" s="123" t="n">
        <v>0</v>
      </c>
      <c r="J40" s="243" t="inlineStr">
        <is>
          <t>72629 Inbound payment order</t>
        </is>
      </c>
    </row>
    <row r="41">
      <c r="B41" s="238" t="inlineStr">
        <is>
          <t>2026-06-19</t>
        </is>
      </c>
      <c r="C41" s="247" t="inlineStr">
        <is>
          <t>Banco Topázio</t>
        </is>
      </c>
      <c r="D41" s="247" t="inlineStr">
        <is>
          <t>Fundos investimento BRL</t>
        </is>
      </c>
      <c r="E41" s="132" t="n">
        <v>0</v>
      </c>
      <c r="F41" s="133" t="n">
        <v>52441.91</v>
      </c>
      <c r="G41" s="238" t="inlineStr">
        <is>
          <t>BRL</t>
        </is>
      </c>
      <c r="H41" s="248" t="inlineStr">
        <is>
          <t>Fund Deposit</t>
        </is>
      </c>
      <c r="I41" s="127" t="n">
        <v>0</v>
      </c>
      <c r="J41" s="247" t="inlineStr">
        <is>
          <t>67043 Fund capital</t>
        </is>
      </c>
    </row>
    <row r="42">
      <c r="B42" s="233" t="inlineStr">
        <is>
          <t>2026-06-22</t>
        </is>
      </c>
      <c r="C42" s="243" t="inlineStr">
        <is>
          <t>BB Brasil</t>
        </is>
      </c>
      <c r="D42" s="243" t="inlineStr">
        <is>
          <t>USA - Own Account</t>
        </is>
      </c>
      <c r="E42" s="128" t="n">
        <v>46229.38</v>
      </c>
      <c r="F42" s="234" t="n">
        <v>241545.87</v>
      </c>
      <c r="G42" s="233" t="inlineStr">
        <is>
          <t>USD</t>
        </is>
      </c>
      <c r="H42" s="210" t="inlineStr">
        <is>
          <t>Outbound</t>
        </is>
      </c>
      <c r="I42" s="123" t="n">
        <v>5.2245</v>
      </c>
      <c r="J42" s="243" t="inlineStr">
        <is>
          <t>67995 Self-transfer</t>
        </is>
      </c>
    </row>
    <row r="43">
      <c r="B43" s="238" t="inlineStr">
        <is>
          <t>2026-06-22</t>
        </is>
      </c>
      <c r="C43" s="247" t="inlineStr">
        <is>
          <t>Wise Brasil</t>
        </is>
      </c>
      <c r="D43" s="247" t="inlineStr">
        <is>
          <t>UK - Eduardo Giovannini</t>
        </is>
      </c>
      <c r="E43" s="124" t="n">
        <v>17000</v>
      </c>
      <c r="F43" s="239" t="n">
        <v>87442.25999999999</v>
      </c>
      <c r="G43" s="238" t="inlineStr">
        <is>
          <t>USD</t>
        </is>
      </c>
      <c r="H43" s="214" t="inlineStr">
        <is>
          <t>Outbound</t>
        </is>
      </c>
      <c r="I43" s="127" t="n">
        <v>5.1436</v>
      </c>
      <c r="J43" s="247" t="inlineStr">
        <is>
          <t>67995 Wise UK</t>
        </is>
      </c>
    </row>
    <row r="44">
      <c r="B44" s="233" t="inlineStr">
        <is>
          <t>2026-06-22</t>
        </is>
      </c>
      <c r="C44" s="243" t="inlineStr">
        <is>
          <t>Wise Brasil</t>
        </is>
      </c>
      <c r="D44" s="243" t="inlineStr">
        <is>
          <t>Interactive Brokers</t>
        </is>
      </c>
      <c r="E44" s="122" t="n">
        <v>7454.1</v>
      </c>
      <c r="F44" s="236" t="n">
        <v>38396.86</v>
      </c>
      <c r="G44" s="233" t="inlineStr">
        <is>
          <t>USD</t>
        </is>
      </c>
      <c r="H44" s="206" t="inlineStr">
        <is>
          <t>IB Deposit</t>
        </is>
      </c>
      <c r="I44" s="123" t="n">
        <v>5.151</v>
      </c>
      <c r="J44" s="243" t="inlineStr">
        <is>
          <t>91992 IB via Wise</t>
        </is>
      </c>
    </row>
    <row r="45">
      <c r="B45" s="238" t="inlineStr">
        <is>
          <t>2026-06-26</t>
        </is>
      </c>
      <c r="C45" s="247" t="inlineStr">
        <is>
          <t>Wise Brasil</t>
        </is>
      </c>
      <c r="D45" s="247" t="inlineStr">
        <is>
          <t>Interactive Brokers</t>
        </is>
      </c>
      <c r="E45" s="144" t="n">
        <v>3834.82</v>
      </c>
      <c r="F45" s="145" t="n">
        <v>19195.81</v>
      </c>
      <c r="G45" s="238" t="inlineStr">
        <is>
          <t>USD</t>
        </is>
      </c>
      <c r="H45" s="146" t="inlineStr">
        <is>
          <t>IB Withdraw</t>
        </is>
      </c>
      <c r="I45" s="127" t="n">
        <v>5.1783</v>
      </c>
      <c r="J45" s="247" t="inlineStr">
        <is>
          <t>91992 IB withdrawal via Wise</t>
        </is>
      </c>
    </row>
    <row r="46">
      <c r="B46" s="233" t="inlineStr">
        <is>
          <t>──── 2024 Historical Travel FX (context only) ────</t>
        </is>
      </c>
      <c r="C46" s="243" t="inlineStr"/>
      <c r="D46" s="243" t="inlineStr"/>
      <c r="E46" s="147" t="n">
        <v>0</v>
      </c>
      <c r="F46" s="219" t="n">
        <v>0</v>
      </c>
      <c r="G46" s="233" t="inlineStr"/>
      <c r="H46" s="233" t="inlineStr"/>
      <c r="I46" s="123" t="n">
        <v>0</v>
      </c>
      <c r="J46" s="243" t="inlineStr"/>
    </row>
    <row r="47">
      <c r="B47" s="238" t="inlineStr">
        <is>
          <t>2024-08-27</t>
        </is>
      </c>
      <c r="C47" s="247" t="inlineStr">
        <is>
          <t>Daycoval</t>
        </is>
      </c>
      <c r="D47" s="247" t="inlineStr">
        <is>
          <t>Switzerland Travel</t>
        </is>
      </c>
      <c r="E47" s="148" t="n">
        <v>800</v>
      </c>
      <c r="F47" s="222" t="n">
        <v>5618.2</v>
      </c>
      <c r="G47" s="238" t="inlineStr">
        <is>
          <t>CHF</t>
        </is>
      </c>
      <c r="H47" s="238" t="inlineStr">
        <is>
          <t>Travel FX</t>
        </is>
      </c>
      <c r="I47" s="127" t="n">
        <v>7.0228</v>
      </c>
      <c r="J47" s="247" t="inlineStr">
        <is>
          <t>32999 Travel</t>
        </is>
      </c>
    </row>
    <row r="48">
      <c r="B48" s="233" t="inlineStr">
        <is>
          <t>2024-08-27</t>
        </is>
      </c>
      <c r="C48" s="243" t="inlineStr">
        <is>
          <t>Daycoval</t>
        </is>
      </c>
      <c r="D48" s="243" t="inlineStr">
        <is>
          <t>USA Travel</t>
        </is>
      </c>
      <c r="E48" s="147" t="n">
        <v>2000</v>
      </c>
      <c r="F48" s="219" t="n">
        <v>11473.79</v>
      </c>
      <c r="G48" s="233" t="inlineStr">
        <is>
          <t>USD</t>
        </is>
      </c>
      <c r="H48" s="233" t="inlineStr">
        <is>
          <t>Travel FX</t>
        </is>
      </c>
      <c r="I48" s="123" t="n">
        <v>5.7369</v>
      </c>
      <c r="J48" s="243" t="inlineStr">
        <is>
          <t>32999 Travel</t>
        </is>
      </c>
    </row>
    <row r="49">
      <c r="B49" s="238" t="inlineStr">
        <is>
          <t>2024-11-19</t>
        </is>
      </c>
      <c r="C49" s="247" t="inlineStr">
        <is>
          <t>Daycoval</t>
        </is>
      </c>
      <c r="D49" s="247" t="inlineStr">
        <is>
          <t>Switzerland Travel</t>
        </is>
      </c>
      <c r="E49" s="148" t="n">
        <v>1500</v>
      </c>
      <c r="F49" s="222" t="n">
        <v>10534.12</v>
      </c>
      <c r="G49" s="238" t="inlineStr">
        <is>
          <t>CHF</t>
        </is>
      </c>
      <c r="H49" s="238" t="inlineStr">
        <is>
          <t>Travel FX</t>
        </is>
      </c>
      <c r="I49" s="127" t="n">
        <v>7.0228</v>
      </c>
      <c r="J49" s="247" t="inlineStr">
        <is>
          <t>32999 Travel</t>
        </is>
      </c>
    </row>
    <row r="50">
      <c r="B50" s="233" t="inlineStr">
        <is>
          <t>OUTBOUND 2026</t>
        </is>
      </c>
      <c r="C50" s="243" t="inlineStr"/>
      <c r="D50" s="243" t="inlineStr"/>
      <c r="E50" s="147" t="n">
        <v>0</v>
      </c>
      <c r="F50" s="219" t="n">
        <v>0</v>
      </c>
      <c r="G50" s="233" t="inlineStr"/>
      <c r="H50" s="233" t="inlineStr"/>
      <c r="I50" s="123" t="n">
        <v>0</v>
      </c>
      <c r="J50" s="243" t="inlineStr"/>
    </row>
    <row r="51">
      <c r="B51" s="238" t="inlineStr">
        <is>
          <t>INBOUND 2026</t>
        </is>
      </c>
      <c r="C51" s="247" t="inlineStr"/>
      <c r="D51" s="247" t="inlineStr"/>
      <c r="E51" s="148" t="n">
        <v>0</v>
      </c>
      <c r="F51" s="222" t="n">
        <v>0</v>
      </c>
      <c r="G51" s="238" t="inlineStr"/>
      <c r="H51" s="238" t="inlineStr"/>
      <c r="I51" s="127" t="n">
        <v>0</v>
      </c>
      <c r="J51" s="247" t="inlineStr"/>
    </row>
    <row r="53">
      <c r="B53" s="194" t="inlineStr">
        <is>
          <t>FX DIRECTION SUMMARY</t>
        </is>
      </c>
      <c r="C53" s="107" t="n"/>
      <c r="D53" s="107" t="n"/>
      <c r="E53" s="107" t="n"/>
      <c r="F53" s="107" t="n"/>
      <c r="G53" s="107" t="n"/>
      <c r="H53" s="107" t="n"/>
      <c r="I53" s="107" t="n"/>
      <c r="J53" s="108" t="n"/>
    </row>
    <row r="54">
      <c r="B54" s="195" t="inlineStr">
        <is>
          <t>Direction</t>
        </is>
      </c>
      <c r="C54" s="195" t="inlineStr">
        <is>
          <t>Count</t>
        </is>
      </c>
      <c r="D54" s="195" t="inlineStr">
        <is>
          <t>BRL Total</t>
        </is>
      </c>
      <c r="E54" s="195" t="inlineStr">
        <is>
          <t>FCY Total</t>
        </is>
      </c>
      <c r="F54" s="195" t="inlineStr">
        <is>
          <t>Avg Rate</t>
        </is>
      </c>
    </row>
    <row r="55">
      <c r="B55" s="211" t="inlineStr">
        <is>
          <t>Fund Deposit</t>
        </is>
      </c>
      <c r="C55" s="235" t="n">
        <v>3</v>
      </c>
      <c r="D55" s="136" t="n">
        <v>175765.83</v>
      </c>
      <c r="E55" s="147" t="n">
        <v>0</v>
      </c>
      <c r="F55" s="123" t="inlineStr"/>
    </row>
    <row r="56">
      <c r="B56" s="205" t="inlineStr">
        <is>
          <t>IB Deposit</t>
        </is>
      </c>
      <c r="C56" s="235" t="n">
        <v>7</v>
      </c>
      <c r="D56" s="236" t="n">
        <v>197706.57</v>
      </c>
      <c r="E56" s="147" t="n">
        <v>38801.24</v>
      </c>
      <c r="F56" s="123" t="n">
        <v>5.121042857142856</v>
      </c>
    </row>
    <row r="57">
      <c r="B57" s="152" t="inlineStr">
        <is>
          <t>IB Withdraw</t>
        </is>
      </c>
      <c r="C57" s="235" t="n">
        <v>1</v>
      </c>
      <c r="D57" s="153" t="n">
        <v>19195.81</v>
      </c>
      <c r="E57" s="147" t="n">
        <v>3834.82</v>
      </c>
      <c r="F57" s="123" t="n">
        <v>5.1783</v>
      </c>
    </row>
    <row r="58">
      <c r="B58" s="154" t="inlineStr">
        <is>
          <t>Inbound</t>
        </is>
      </c>
      <c r="C58" s="235" t="n">
        <v>2</v>
      </c>
      <c r="D58" s="142" t="n">
        <v>98857</v>
      </c>
      <c r="E58" s="147" t="n">
        <v>0</v>
      </c>
      <c r="F58" s="123" t="inlineStr"/>
    </row>
    <row r="59">
      <c r="B59" s="209" t="inlineStr">
        <is>
          <t>Outbound</t>
        </is>
      </c>
      <c r="C59" s="235" t="n">
        <v>19</v>
      </c>
      <c r="D59" s="234" t="n">
        <v>652788.61</v>
      </c>
      <c r="E59" s="147" t="n">
        <v>126279.38</v>
      </c>
      <c r="F59" s="123" t="n">
        <v>5.179926315789474</v>
      </c>
    </row>
    <row r="60">
      <c r="B60" s="243" t="inlineStr">
        <is>
          <t>Travel FX</t>
        </is>
      </c>
      <c r="C60" s="235" t="n">
        <v>3</v>
      </c>
      <c r="D60" s="219" t="n">
        <v>27626.11</v>
      </c>
      <c r="E60" s="147" t="n">
        <v>4300</v>
      </c>
      <c r="F60" s="123" t="n">
        <v>6.594166666666666</v>
      </c>
    </row>
    <row r="61">
      <c r="B61" s="243" t="inlineStr">
        <is>
          <t>Unknown</t>
        </is>
      </c>
      <c r="C61" s="235" t="n">
        <v>3</v>
      </c>
      <c r="D61" s="219" t="n">
        <v>0</v>
      </c>
      <c r="E61" s="147" t="n">
        <v>0</v>
      </c>
      <c r="F61" s="123" t="inlineStr"/>
    </row>
    <row r="63">
      <c r="B63" s="194" t="inlineStr">
        <is>
          <t>SECTION 3 · MP FATURAS MONTHLY SUMMARY — 146 Transactions</t>
        </is>
      </c>
      <c r="C63" s="107" t="n"/>
      <c r="D63" s="107" t="n"/>
      <c r="E63" s="107" t="n"/>
      <c r="F63" s="107" t="n"/>
      <c r="G63" s="107" t="n"/>
      <c r="H63" s="107" t="n"/>
      <c r="I63" s="107" t="n"/>
      <c r="J63" s="108" t="n"/>
    </row>
    <row r="64">
      <c r="B64" s="195" t="inlineStr">
        <is>
          <t>Month</t>
        </is>
      </c>
      <c r="C64" s="195" t="inlineStr">
        <is>
          <t>Card Spend (R$)</t>
        </is>
      </c>
      <c r="D64" s="195" t="inlineStr">
        <is>
          <t>Transactions</t>
        </is>
      </c>
      <c r="E64" s="195" t="inlineStr">
        <is>
          <t>vs Avg</t>
        </is>
      </c>
      <c r="F64" s="195" t="inlineStr">
        <is>
          <t>Cum Total</t>
        </is>
      </c>
    </row>
    <row r="65">
      <c r="B65" s="233" t="inlineStr">
        <is>
          <t>2026-01</t>
        </is>
      </c>
      <c r="C65" s="234" t="n">
        <v>3745.4</v>
      </c>
      <c r="D65" s="235" t="n">
        <v>18</v>
      </c>
      <c r="E65" s="234" t="n">
        <v>-2462.226666666667</v>
      </c>
      <c r="F65" s="219" t="n">
        <v>3745.4</v>
      </c>
    </row>
    <row r="66">
      <c r="B66" s="238" t="inlineStr">
        <is>
          <t>2026-02</t>
        </is>
      </c>
      <c r="C66" s="239" t="n">
        <v>9515.9</v>
      </c>
      <c r="D66" s="240" t="n">
        <v>21</v>
      </c>
      <c r="E66" s="241" t="n">
        <v>3308.273333333333</v>
      </c>
      <c r="F66" s="222" t="n">
        <v>13261.3</v>
      </c>
    </row>
    <row r="67">
      <c r="B67" s="233" t="inlineStr">
        <is>
          <t>2026-03</t>
        </is>
      </c>
      <c r="C67" s="234" t="n">
        <v>14231.47</v>
      </c>
      <c r="D67" s="235" t="n">
        <v>32</v>
      </c>
      <c r="E67" s="236" t="n">
        <v>8023.843333333334</v>
      </c>
      <c r="F67" s="219" t="n">
        <v>27492.77</v>
      </c>
    </row>
    <row r="68">
      <c r="B68" s="238" t="inlineStr">
        <is>
          <t>2026-04</t>
        </is>
      </c>
      <c r="C68" s="239" t="n">
        <v>5330.44</v>
      </c>
      <c r="D68" s="240" t="n">
        <v>33</v>
      </c>
      <c r="E68" s="239" t="n">
        <v>-877.1866666666674</v>
      </c>
      <c r="F68" s="222" t="n">
        <v>32823.21</v>
      </c>
    </row>
    <row r="69">
      <c r="B69" s="233" t="inlineStr">
        <is>
          <t>2026-05</t>
        </is>
      </c>
      <c r="C69" s="234" t="n">
        <v>3308.38</v>
      </c>
      <c r="D69" s="235" t="n">
        <v>29</v>
      </c>
      <c r="E69" s="234" t="n">
        <v>-2899.246666666667</v>
      </c>
      <c r="F69" s="219" t="n">
        <v>36131.59</v>
      </c>
    </row>
    <row r="70">
      <c r="B70" s="238" t="inlineStr">
        <is>
          <t>2026-06</t>
        </is>
      </c>
      <c r="C70" s="239" t="n">
        <v>1114.17</v>
      </c>
      <c r="D70" s="240" t="n">
        <v>13</v>
      </c>
      <c r="E70" s="239" t="n">
        <v>-5093.456666666667</v>
      </c>
      <c r="F70" s="222" t="n">
        <v>37245.75999999999</v>
      </c>
    </row>
    <row r="71">
      <c r="B71" s="120" t="inlineStr">
        <is>
          <t>TOTAL H1 2026</t>
        </is>
      </c>
      <c r="C71" s="121" t="n">
        <v>37245.76</v>
      </c>
      <c r="D71" s="157" t="n">
        <v>146</v>
      </c>
      <c r="E71" s="158" t="inlineStr"/>
      <c r="F71" s="158" t="inlineStr"/>
    </row>
    <row r="73">
      <c r="B73" s="194" t="inlineStr">
        <is>
          <t>SECTION 3b · MoM CHANGES — Most Recent Month First</t>
        </is>
      </c>
      <c r="C73" s="107" t="n"/>
      <c r="D73" s="107" t="n"/>
      <c r="E73" s="107" t="n"/>
      <c r="F73" s="107" t="n"/>
      <c r="G73" s="107" t="n"/>
      <c r="H73" s="107" t="n"/>
      <c r="I73" s="107" t="n"/>
      <c r="J73" s="108" t="n"/>
    </row>
    <row r="74">
      <c r="B74" s="195" t="inlineStr">
        <is>
          <t>Month</t>
        </is>
      </c>
      <c r="C74" s="195" t="inlineStr">
        <is>
          <t>Spend</t>
        </is>
      </c>
      <c r="D74" s="195" t="inlineStr">
        <is>
          <t>Prev Month Spend</t>
        </is>
      </c>
      <c r="E74" s="195" t="inlineStr">
        <is>
          <t>MoM %</t>
        </is>
      </c>
      <c r="F74" s="195" t="inlineStr">
        <is>
          <t>Direction</t>
        </is>
      </c>
    </row>
    <row r="75">
      <c r="B75" s="233" t="inlineStr">
        <is>
          <t>2026-06</t>
        </is>
      </c>
      <c r="C75" s="219" t="n">
        <v>1114.17</v>
      </c>
      <c r="D75" s="219" t="n">
        <v>3308.38</v>
      </c>
      <c r="E75" s="220" t="n">
        <v>-0.6632279242408671</v>
      </c>
      <c r="F75" s="210" t="inlineStr">
        <is>
          <t>↓</t>
        </is>
      </c>
    </row>
    <row r="76">
      <c r="B76" s="238" t="inlineStr">
        <is>
          <t>2026-05</t>
        </is>
      </c>
      <c r="C76" s="222" t="n">
        <v>3308.38</v>
      </c>
      <c r="D76" s="222" t="n">
        <v>5330.44</v>
      </c>
      <c r="E76" s="223" t="n">
        <v>-0.3793420430583591</v>
      </c>
      <c r="F76" s="214" t="inlineStr">
        <is>
          <t>↓</t>
        </is>
      </c>
    </row>
    <row r="77">
      <c r="B77" s="233" t="inlineStr">
        <is>
          <t>2026-04</t>
        </is>
      </c>
      <c r="C77" s="219" t="n">
        <v>5330.44</v>
      </c>
      <c r="D77" s="219" t="n">
        <v>14231.47</v>
      </c>
      <c r="E77" s="220" t="n">
        <v>-0.6254469847457783</v>
      </c>
      <c r="F77" s="210" t="inlineStr">
        <is>
          <t>↓</t>
        </is>
      </c>
    </row>
    <row r="78">
      <c r="B78" s="238" t="inlineStr">
        <is>
          <t>2026-03</t>
        </is>
      </c>
      <c r="C78" s="222" t="n">
        <v>14231.47</v>
      </c>
      <c r="D78" s="222" t="n">
        <v>9515.9</v>
      </c>
      <c r="E78" s="225" t="n">
        <v>0.4955464012862684</v>
      </c>
      <c r="F78" s="208" t="inlineStr">
        <is>
          <t>↑</t>
        </is>
      </c>
    </row>
    <row r="79">
      <c r="B79" s="233" t="inlineStr">
        <is>
          <t>2026-02</t>
        </is>
      </c>
      <c r="C79" s="219" t="n">
        <v>9515.9</v>
      </c>
      <c r="D79" s="219" t="n">
        <v>3745.4</v>
      </c>
      <c r="E79" s="227" t="n">
        <v>1.540689912959897</v>
      </c>
      <c r="F79" s="206" t="inlineStr">
        <is>
          <t>↑</t>
        </is>
      </c>
    </row>
    <row r="80">
      <c r="B80" s="238" t="inlineStr">
        <is>
          <t>2026-01</t>
        </is>
      </c>
      <c r="C80" s="222" t="n">
        <v>3745.4</v>
      </c>
      <c r="D80" s="222" t="n">
        <v>0</v>
      </c>
      <c r="E80" s="225" t="n">
        <v>0</v>
      </c>
      <c r="F80" s="208" t="inlineStr">
        <is>
          <t>↑</t>
        </is>
      </c>
    </row>
    <row r="82">
      <c r="B82" s="194" t="inlineStr">
        <is>
          <t>SECTION 4 · SPEND BY CATEGORY — Sorted Largest to Smallest</t>
        </is>
      </c>
      <c r="C82" s="107" t="n"/>
      <c r="D82" s="107" t="n"/>
      <c r="E82" s="107" t="n"/>
      <c r="F82" s="107" t="n"/>
      <c r="G82" s="107" t="n"/>
      <c r="H82" s="107" t="n"/>
      <c r="I82" s="107" t="n"/>
      <c r="J82" s="108" t="n"/>
    </row>
    <row r="83">
      <c r="B83" s="195" t="inlineStr">
        <is>
          <t>Category</t>
        </is>
      </c>
      <c r="C83" s="195" t="inlineStr">
        <is>
          <t>Total (R$)</t>
        </is>
      </c>
      <c r="D83" s="195" t="inlineStr">
        <is>
          <t>% of Total</t>
        </is>
      </c>
      <c r="E83" s="195" t="inlineStr">
        <is>
          <t>Avg/Month</t>
        </is>
      </c>
      <c r="F83" s="195" t="inlineStr">
        <is>
          <t>Transactions</t>
        </is>
      </c>
      <c r="G83" s="195" t="inlineStr">
        <is>
          <t>Classification</t>
        </is>
      </c>
    </row>
    <row r="84">
      <c r="B84" s="243" t="inlineStr">
        <is>
          <t>Viagem</t>
        </is>
      </c>
      <c r="C84" s="219" t="n">
        <v>9036.83</v>
      </c>
      <c r="D84" s="163" t="n">
        <v>0.242627080236784</v>
      </c>
      <c r="E84" s="219" t="n">
        <v>1506.138333333333</v>
      </c>
      <c r="F84" s="235" t="n">
        <v>1</v>
      </c>
      <c r="G84" s="243" t="inlineStr">
        <is>
          <t>💡 Discretionary</t>
        </is>
      </c>
    </row>
    <row r="85">
      <c r="B85" s="247" t="inlineStr">
        <is>
          <t>Compras/ML</t>
        </is>
      </c>
      <c r="C85" s="222" t="n">
        <v>8744.679999999998</v>
      </c>
      <c r="D85" s="164" t="n">
        <v>0.2347832343869476</v>
      </c>
      <c r="E85" s="222" t="n">
        <v>1457.446666666666</v>
      </c>
      <c r="F85" s="240" t="n">
        <v>9</v>
      </c>
      <c r="G85" s="247" t="inlineStr">
        <is>
          <t>💡 Discretionary</t>
        </is>
      </c>
    </row>
    <row r="86">
      <c r="B86" s="243" t="inlineStr">
        <is>
          <t>IA/Tecnologia</t>
        </is>
      </c>
      <c r="C86" s="234" t="n">
        <v>6624.360000000001</v>
      </c>
      <c r="D86" s="165" t="n">
        <v>0.1778554122670608</v>
      </c>
      <c r="E86" s="219" t="n">
        <v>1104.06</v>
      </c>
      <c r="F86" s="235" t="n">
        <v>37</v>
      </c>
      <c r="G86" s="209" t="inlineStr">
        <is>
          <t>⚠ Review</t>
        </is>
      </c>
    </row>
    <row r="87">
      <c r="B87" s="247" t="inlineStr">
        <is>
          <t>Loteria</t>
        </is>
      </c>
      <c r="C87" s="239" t="n">
        <v>6455.1</v>
      </c>
      <c r="D87" s="166" t="n">
        <v>0.1733110023798682</v>
      </c>
      <c r="E87" s="222" t="n">
        <v>1075.85</v>
      </c>
      <c r="F87" s="240" t="n">
        <v>39</v>
      </c>
      <c r="G87" s="213" t="inlineStr">
        <is>
          <t>⚠ Review</t>
        </is>
      </c>
    </row>
    <row r="88">
      <c r="B88" s="243" t="inlineStr">
        <is>
          <t>Outros</t>
        </is>
      </c>
      <c r="C88" s="219" t="n">
        <v>2235.58</v>
      </c>
      <c r="D88" s="163" t="n">
        <v>0.06002240254998152</v>
      </c>
      <c r="E88" s="219" t="n">
        <v>372.5966666666666</v>
      </c>
      <c r="F88" s="235" t="n">
        <v>9</v>
      </c>
      <c r="G88" s="243" t="inlineStr">
        <is>
          <t>❓ Unknown</t>
        </is>
      </c>
    </row>
    <row r="89">
      <c r="B89" s="247" t="inlineStr">
        <is>
          <t>Internet</t>
        </is>
      </c>
      <c r="C89" s="241" t="n">
        <v>1413.12</v>
      </c>
      <c r="D89" s="168" t="n">
        <v>0.03794042597063398</v>
      </c>
      <c r="E89" s="222" t="n">
        <v>235.52</v>
      </c>
      <c r="F89" s="240" t="n">
        <v>6</v>
      </c>
      <c r="G89" s="207" t="inlineStr">
        <is>
          <t>✅ Essential</t>
        </is>
      </c>
    </row>
    <row r="90">
      <c r="B90" s="243" t="inlineStr">
        <is>
          <t>Assinatura</t>
        </is>
      </c>
      <c r="C90" s="219" t="n">
        <v>1227.5</v>
      </c>
      <c r="D90" s="163" t="n">
        <v>0.03295677145532807</v>
      </c>
      <c r="E90" s="219" t="n">
        <v>204.5833333333333</v>
      </c>
      <c r="F90" s="235" t="n">
        <v>19</v>
      </c>
      <c r="G90" s="243" t="inlineStr">
        <is>
          <t>💡 Discretionary</t>
        </is>
      </c>
    </row>
    <row r="91">
      <c r="B91" s="247" t="inlineStr">
        <is>
          <t>Delivery/iFood</t>
        </is>
      </c>
      <c r="C91" s="241" t="n">
        <v>1217.92</v>
      </c>
      <c r="D91" s="168" t="n">
        <v>0.03269956097016143</v>
      </c>
      <c r="E91" s="222" t="n">
        <v>202.9866666666667</v>
      </c>
      <c r="F91" s="240" t="n">
        <v>14</v>
      </c>
      <c r="G91" s="207" t="inlineStr">
        <is>
          <t>✅ Essential</t>
        </is>
      </c>
    </row>
    <row r="92">
      <c r="B92" s="243" t="inlineStr">
        <is>
          <t>Transporte</t>
        </is>
      </c>
      <c r="C92" s="219" t="n">
        <v>205.34</v>
      </c>
      <c r="D92" s="163" t="n">
        <v>0.005513110754083149</v>
      </c>
      <c r="E92" s="219" t="n">
        <v>34.22333333333334</v>
      </c>
      <c r="F92" s="235" t="n">
        <v>10</v>
      </c>
      <c r="G92" s="243" t="inlineStr">
        <is>
          <t>💡 Discretionary</t>
        </is>
      </c>
    </row>
    <row r="93">
      <c r="B93" s="247" t="inlineStr">
        <is>
          <t>Telecomunicações</t>
        </is>
      </c>
      <c r="C93" s="241" t="n">
        <v>74.43000000000001</v>
      </c>
      <c r="D93" s="168" t="n">
        <v>0.001998348268366654</v>
      </c>
      <c r="E93" s="222" t="n">
        <v>12.405</v>
      </c>
      <c r="F93" s="240" t="n">
        <v>1</v>
      </c>
      <c r="G93" s="207" t="inlineStr">
        <is>
          <t>✅ Essential</t>
        </is>
      </c>
    </row>
    <row r="94">
      <c r="B94" s="243" t="inlineStr">
        <is>
          <t>Digital</t>
        </is>
      </c>
      <c r="C94" s="219" t="n">
        <v>10.9</v>
      </c>
      <c r="D94" s="163" t="n">
        <v>0.0002926507607845833</v>
      </c>
      <c r="E94" s="219" t="n">
        <v>1.816666666666667</v>
      </c>
      <c r="F94" s="235" t="n">
        <v>1</v>
      </c>
      <c r="G94" s="243" t="inlineStr">
        <is>
          <t>❓ Unknown</t>
        </is>
      </c>
    </row>
    <row r="96">
      <c r="B96" s="194" t="inlineStr">
        <is>
          <t>SECTION 5 · SUBSCRIPTION STACK — 15 Services · Decision Analysis</t>
        </is>
      </c>
      <c r="C96" s="107" t="n"/>
      <c r="D96" s="107" t="n"/>
      <c r="E96" s="107" t="n"/>
      <c r="F96" s="107" t="n"/>
      <c r="G96" s="107" t="n"/>
      <c r="H96" s="107" t="n"/>
      <c r="I96" s="107" t="n"/>
      <c r="J96" s="108" t="n"/>
    </row>
    <row r="97">
      <c r="B97" s="195" t="inlineStr">
        <is>
          <t>Service</t>
        </is>
      </c>
      <c r="C97" s="195" t="inlineStr">
        <is>
          <t>Plan</t>
        </is>
      </c>
      <c r="D97" s="195" t="inlineStr">
        <is>
          <t>Monthly BRL</t>
        </is>
      </c>
      <c r="E97" s="195" t="inlineStr">
        <is>
          <t>Category</t>
        </is>
      </c>
      <c r="F97" s="195" t="inlineStr">
        <is>
          <t>Dup Risk</t>
        </is>
      </c>
      <c r="G97" s="195" t="inlineStr">
        <is>
          <t>Decision</t>
        </is>
      </c>
      <c r="H97" s="195" t="inlineStr">
        <is>
          <t>Annual BRL</t>
        </is>
      </c>
      <c r="I97" s="195" t="inlineStr">
        <is>
          <t>Action</t>
        </is>
      </c>
    </row>
    <row r="98">
      <c r="B98" s="243" t="inlineStr">
        <is>
          <t>Claude</t>
        </is>
      </c>
      <c r="C98" s="243" t="inlineStr">
        <is>
          <t>Pro</t>
        </is>
      </c>
      <c r="D98" s="234" t="n">
        <v>92</v>
      </c>
      <c r="E98" s="243" t="inlineStr">
        <is>
          <t>AI - General/Coding</t>
        </is>
      </c>
      <c r="F98" s="210" t="inlineStr">
        <is>
          <t>HIGH</t>
        </is>
      </c>
      <c r="G98" s="210" t="inlineStr">
        <is>
          <t>CANCEL</t>
        </is>
      </c>
      <c r="H98" s="234" t="n">
        <v>1104</v>
      </c>
      <c r="I98" s="243" t="inlineStr">
        <is>
          <t>Cancel immediately</t>
        </is>
      </c>
    </row>
    <row r="99">
      <c r="B99" s="247" t="inlineStr">
        <is>
          <t>Claude</t>
        </is>
      </c>
      <c r="C99" s="247" t="inlineStr">
        <is>
          <t>Pro</t>
        </is>
      </c>
      <c r="D99" s="239" t="n">
        <v>92</v>
      </c>
      <c r="E99" s="247" t="inlineStr">
        <is>
          <t>AI - General/Coding</t>
        </is>
      </c>
      <c r="F99" s="214" t="inlineStr">
        <is>
          <t>HIGH</t>
        </is>
      </c>
      <c r="G99" s="214" t="inlineStr">
        <is>
          <t>CANCEL</t>
        </is>
      </c>
      <c r="H99" s="239" t="n">
        <v>1104</v>
      </c>
      <c r="I99" s="247" t="inlineStr">
        <is>
          <t>Cancel immediately</t>
        </is>
      </c>
    </row>
    <row r="100">
      <c r="B100" s="243" t="inlineStr">
        <is>
          <t>ChatGPT</t>
        </is>
      </c>
      <c r="C100" s="243" t="inlineStr">
        <is>
          <t>Plus</t>
        </is>
      </c>
      <c r="D100" s="236" t="n">
        <v>106</v>
      </c>
      <c r="E100" s="243" t="inlineStr">
        <is>
          <t>AI - General Assistant</t>
        </is>
      </c>
      <c r="F100" s="233" t="inlineStr">
        <is>
          <t>MEDIUM</t>
        </is>
      </c>
      <c r="G100" s="206" t="inlineStr">
        <is>
          <t>KEEP</t>
        </is>
      </c>
      <c r="H100" s="236" t="n">
        <v>1272</v>
      </c>
      <c r="I100" s="243" t="inlineStr">
        <is>
          <t>Keep — monitor</t>
        </is>
      </c>
    </row>
    <row r="101">
      <c r="B101" s="247" t="inlineStr">
        <is>
          <t>Google</t>
        </is>
      </c>
      <c r="C101" s="247" t="inlineStr">
        <is>
          <t>Pro</t>
        </is>
      </c>
      <c r="D101" s="242" t="n">
        <v>96.98999999999999</v>
      </c>
      <c r="E101" s="247" t="inlineStr">
        <is>
          <t>AI - General/Workspace</t>
        </is>
      </c>
      <c r="F101" s="214" t="inlineStr">
        <is>
          <t>HIGH</t>
        </is>
      </c>
      <c r="G101" s="204" t="inlineStr">
        <is>
          <t>REVIEW</t>
        </is>
      </c>
      <c r="H101" s="242" t="n">
        <v>1163.88</v>
      </c>
      <c r="I101" s="247" t="inlineStr">
        <is>
          <t>Decide by Aug 2026</t>
        </is>
      </c>
    </row>
    <row r="102">
      <c r="B102" s="243" t="inlineStr">
        <is>
          <t>Manus</t>
        </is>
      </c>
      <c r="C102" s="243" t="inlineStr">
        <is>
          <t>Unknown / credits</t>
        </is>
      </c>
      <c r="D102" s="237" t="n">
        <v>0</v>
      </c>
      <c r="E102" s="243" t="inlineStr">
        <is>
          <t>AI - Agent/Credits</t>
        </is>
      </c>
      <c r="F102" s="233" t="inlineStr">
        <is>
          <t>UNKNOWN</t>
        </is>
      </c>
      <c r="G102" s="215" t="inlineStr">
        <is>
          <t>REVIEW</t>
        </is>
      </c>
      <c r="H102" s="237" t="n">
        <v>0</v>
      </c>
      <c r="I102" s="243" t="inlineStr">
        <is>
          <t>Decide by Aug 2026</t>
        </is>
      </c>
    </row>
    <row r="103">
      <c r="B103" s="247" t="inlineStr">
        <is>
          <t>Manus</t>
        </is>
      </c>
      <c r="C103" s="247" t="inlineStr">
        <is>
          <t>Unknown / credits</t>
        </is>
      </c>
      <c r="D103" s="242" t="n">
        <v>418.43</v>
      </c>
      <c r="E103" s="247" t="inlineStr">
        <is>
          <t>AI - Agent/Credits</t>
        </is>
      </c>
      <c r="F103" s="238" t="inlineStr">
        <is>
          <t>UNKNOWN</t>
        </is>
      </c>
      <c r="G103" s="204" t="inlineStr">
        <is>
          <t>REVIEW</t>
        </is>
      </c>
      <c r="H103" s="242" t="n">
        <v>5021.16</v>
      </c>
      <c r="I103" s="247" t="inlineStr">
        <is>
          <t>Decide by Aug 2026</t>
        </is>
      </c>
    </row>
    <row r="104">
      <c r="B104" s="243" t="inlineStr">
        <is>
          <t>Cursor</t>
        </is>
      </c>
      <c r="C104" s="243" t="inlineStr">
        <is>
          <t>Pro</t>
        </is>
      </c>
      <c r="D104" s="236" t="n">
        <v>106</v>
      </c>
      <c r="E104" s="243" t="inlineStr">
        <is>
          <t>AI - Coding Assistant</t>
        </is>
      </c>
      <c r="F104" s="233" t="inlineStr">
        <is>
          <t>MEDIUM</t>
        </is>
      </c>
      <c r="G104" s="206" t="inlineStr">
        <is>
          <t>KEEP</t>
        </is>
      </c>
      <c r="H104" s="236" t="n">
        <v>1272</v>
      </c>
      <c r="I104" s="243" t="inlineStr">
        <is>
          <t>Keep — monitor</t>
        </is>
      </c>
    </row>
    <row r="105">
      <c r="B105" s="247" t="inlineStr">
        <is>
          <t>Desktop Commander</t>
        </is>
      </c>
      <c r="C105" s="247" t="inlineStr">
        <is>
          <t>Unlimited</t>
        </is>
      </c>
      <c r="D105" s="242" t="n">
        <v>45.37</v>
      </c>
      <c r="E105" s="247" t="inlineStr">
        <is>
          <t>AI - Desktop Automation</t>
        </is>
      </c>
      <c r="F105" s="238" t="inlineStr">
        <is>
          <t>UNKNOWN</t>
        </is>
      </c>
      <c r="G105" s="204" t="inlineStr">
        <is>
          <t>REVIEW</t>
        </is>
      </c>
      <c r="H105" s="242" t="n">
        <v>544.4399999999999</v>
      </c>
      <c r="I105" s="247" t="inlineStr">
        <is>
          <t>Decide by Aug 2026</t>
        </is>
      </c>
    </row>
    <row r="106">
      <c r="B106" s="243" t="inlineStr">
        <is>
          <t>Filmora9</t>
        </is>
      </c>
      <c r="C106" s="243" t="inlineStr">
        <is>
          <t>Annual Subscription</t>
        </is>
      </c>
      <c r="D106" s="237" t="n">
        <v>15.40833333333333</v>
      </c>
      <c r="E106" s="243" t="inlineStr">
        <is>
          <t>Creative/Productivity</t>
        </is>
      </c>
      <c r="F106" s="233" t="inlineStr">
        <is>
          <t>LOW</t>
        </is>
      </c>
      <c r="G106" s="215" t="inlineStr">
        <is>
          <t>REVIEW</t>
        </is>
      </c>
      <c r="H106" s="237" t="n">
        <v>184.8999999999999</v>
      </c>
      <c r="I106" s="243" t="inlineStr">
        <is>
          <t>Decide by Aug 2026</t>
        </is>
      </c>
    </row>
    <row r="107">
      <c r="B107" s="247" t="inlineStr">
        <is>
          <t>Grok</t>
        </is>
      </c>
      <c r="C107" s="247" t="inlineStr">
        <is>
          <t>SuperGrok</t>
        </is>
      </c>
      <c r="D107" s="239" t="n">
        <v>149.9</v>
      </c>
      <c r="E107" s="247" t="inlineStr">
        <is>
          <t>AI - General/Media</t>
        </is>
      </c>
      <c r="F107" s="214" t="inlineStr">
        <is>
          <t>HIGH</t>
        </is>
      </c>
      <c r="G107" s="214" t="inlineStr">
        <is>
          <t>CANCEL</t>
        </is>
      </c>
      <c r="H107" s="239" t="n">
        <v>1798.8</v>
      </c>
      <c r="I107" s="247" t="inlineStr">
        <is>
          <t>Cancel immediately</t>
        </is>
      </c>
    </row>
    <row r="108">
      <c r="B108" s="243" t="inlineStr">
        <is>
          <t>iCloud+</t>
        </is>
      </c>
      <c r="C108" s="243" t="inlineStr">
        <is>
          <t>200 GB storage</t>
        </is>
      </c>
      <c r="D108" s="236" t="n">
        <v>19.9</v>
      </c>
      <c r="E108" s="243" t="inlineStr">
        <is>
          <t>Cloud/Storage</t>
        </is>
      </c>
      <c r="F108" s="233" t="inlineStr">
        <is>
          <t>LOW</t>
        </is>
      </c>
      <c r="G108" s="206" t="inlineStr">
        <is>
          <t>KEEP</t>
        </is>
      </c>
      <c r="H108" s="236" t="n">
        <v>238.8</v>
      </c>
      <c r="I108" s="243" t="inlineStr">
        <is>
          <t>Keep — monitor</t>
        </is>
      </c>
    </row>
    <row r="109">
      <c r="B109" s="247" t="inlineStr">
        <is>
          <t>Microsoft 365 Personal</t>
        </is>
      </c>
      <c r="C109" s="247" t="inlineStr">
        <is>
          <t>Personal</t>
        </is>
      </c>
      <c r="D109" s="242" t="n">
        <v>42.41666666666666</v>
      </c>
      <c r="E109" s="247" t="inlineStr">
        <is>
          <t>Productivity/Cloud</t>
        </is>
      </c>
      <c r="F109" s="238" t="inlineStr">
        <is>
          <t>MEDIUM</t>
        </is>
      </c>
      <c r="G109" s="204" t="inlineStr">
        <is>
          <t>REVIEW</t>
        </is>
      </c>
      <c r="H109" s="242" t="n">
        <v>508.9999999999999</v>
      </c>
      <c r="I109" s="247" t="inlineStr">
        <is>
          <t>Decide by Aug 2026</t>
        </is>
      </c>
    </row>
    <row r="110">
      <c r="B110" s="243" t="inlineStr">
        <is>
          <t>NordVPN</t>
        </is>
      </c>
      <c r="C110" s="243" t="inlineStr">
        <is>
          <t>Auto-renewable Subscription</t>
        </is>
      </c>
      <c r="D110" s="237" t="n">
        <v>28.325</v>
      </c>
      <c r="E110" s="243" t="inlineStr">
        <is>
          <t>Security/VPN</t>
        </is>
      </c>
      <c r="F110" s="233" t="inlineStr">
        <is>
          <t>LOW</t>
        </is>
      </c>
      <c r="G110" s="215" t="inlineStr">
        <is>
          <t>REVIEW</t>
        </is>
      </c>
      <c r="H110" s="237" t="n">
        <v>339.9</v>
      </c>
      <c r="I110" s="243" t="inlineStr">
        <is>
          <t>Decide by Aug 2026</t>
        </is>
      </c>
    </row>
    <row r="111">
      <c r="B111" s="247" t="inlineStr">
        <is>
          <t>Perplexity</t>
        </is>
      </c>
      <c r="C111" s="247" t="inlineStr">
        <is>
          <t>Perplexity Pro for Mac</t>
        </is>
      </c>
      <c r="D111" s="241" t="n">
        <v>99.90000000000001</v>
      </c>
      <c r="E111" s="247" t="inlineStr">
        <is>
          <t>AI - Research Assistant</t>
        </is>
      </c>
      <c r="F111" s="214" t="inlineStr">
        <is>
          <t>HIGH</t>
        </is>
      </c>
      <c r="G111" s="208" t="inlineStr">
        <is>
          <t>KEEP</t>
        </is>
      </c>
      <c r="H111" s="241" t="n">
        <v>1198.8</v>
      </c>
      <c r="I111" s="247" t="inlineStr">
        <is>
          <t>Keep — monitor</t>
        </is>
      </c>
    </row>
    <row r="112">
      <c r="B112" s="243" t="inlineStr">
        <is>
          <t>TuneIn Radio</t>
        </is>
      </c>
      <c r="C112" s="243" t="inlineStr">
        <is>
          <t>TuneIn Premium</t>
        </is>
      </c>
      <c r="D112" s="234" t="n">
        <v>31.9</v>
      </c>
      <c r="E112" s="243" t="inlineStr">
        <is>
          <t>Entertainment</t>
        </is>
      </c>
      <c r="F112" s="233" t="inlineStr">
        <is>
          <t>LOW</t>
        </is>
      </c>
      <c r="G112" s="210" t="inlineStr">
        <is>
          <t>CANCEL</t>
        </is>
      </c>
      <c r="H112" s="234" t="n">
        <v>382.8</v>
      </c>
      <c r="I112" s="243" t="inlineStr">
        <is>
          <t>Cancel immediately</t>
        </is>
      </c>
    </row>
    <row r="114">
      <c r="B114" s="195" t="inlineStr">
        <is>
          <t>DECISION SUMMARY</t>
        </is>
      </c>
      <c r="C114" s="108" t="n"/>
    </row>
    <row r="115">
      <c r="B115" s="174" t="inlineStr">
        <is>
          <t>CANCEL</t>
        </is>
      </c>
      <c r="C115" s="175" t="n">
        <v>365.8</v>
      </c>
      <c r="D115" s="175" t="n">
        <v>4389.599999999999</v>
      </c>
    </row>
    <row r="116">
      <c r="B116" s="176" t="inlineStr">
        <is>
          <t>KEEP</t>
        </is>
      </c>
      <c r="C116" s="177" t="n">
        <v>331.8</v>
      </c>
      <c r="D116" s="177" t="n">
        <v>3981.6</v>
      </c>
    </row>
    <row r="117">
      <c r="B117" s="195" t="inlineStr">
        <is>
          <t>REVIEW</t>
        </is>
      </c>
      <c r="C117" s="178" t="n">
        <v>646.9399999999999</v>
      </c>
      <c r="D117" s="178" t="n">
        <v>7763.279999999999</v>
      </c>
    </row>
    <row r="119">
      <c r="B119" s="174" t="inlineStr">
        <is>
          <t>CANCEL SAVINGS/MONTH</t>
        </is>
      </c>
      <c r="C119" s="175" t="n">
        <v>365.8</v>
      </c>
      <c r="D119" s="175" t="n">
        <v>4389.599999999999</v>
      </c>
    </row>
    <row r="121">
      <c r="B121" s="194" t="inlineStr">
        <is>
          <t>SECTION 6 · NET WORTH — Master KPI Cells (feed all dashboard tiles)</t>
        </is>
      </c>
      <c r="C121" s="107" t="n"/>
      <c r="D121" s="107" t="n"/>
      <c r="E121" s="107" t="n"/>
      <c r="F121" s="107" t="n"/>
      <c r="G121" s="107" t="n"/>
      <c r="H121" s="107" t="n"/>
      <c r="I121" s="107" t="n"/>
      <c r="J121" s="108" t="n"/>
    </row>
    <row r="122">
      <c r="B122" s="195" t="inlineStr">
        <is>
          <t>KPI Name</t>
        </is>
      </c>
      <c r="C122" s="195" t="inlineStr">
        <is>
          <t>Raw Value</t>
        </is>
      </c>
      <c r="D122" s="195" t="inlineStr">
        <is>
          <t>Format Code</t>
        </is>
      </c>
      <c r="E122" s="195" t="inlineStr">
        <is>
          <t>Display Value</t>
        </is>
      </c>
      <c r="F122" s="195" t="inlineStr">
        <is>
          <t>Unit</t>
        </is>
      </c>
      <c r="G122" s="195" t="inlineStr">
        <is>
          <t>Source</t>
        </is>
      </c>
    </row>
    <row r="123">
      <c r="B123" s="196" t="inlineStr">
        <is>
          <t>TOTAL LIQUID</t>
        </is>
      </c>
      <c r="C123" s="236" t="n">
        <v>23196.9</v>
      </c>
      <c r="D123" s="243" t="inlineStr">
        <is>
          <t>"R$ "#,##0.00</t>
        </is>
      </c>
      <c r="E123" s="198" t="inlineStr">
        <is>
          <t>R$ 23,196.90</t>
        </is>
      </c>
      <c r="F123" s="233" t="inlineStr">
        <is>
          <t>BRL</t>
        </is>
      </c>
      <c r="G123" s="243" t="inlineStr">
        <is>
          <t>Banks confirmed</t>
        </is>
      </c>
    </row>
    <row r="124">
      <c r="B124" s="181" t="inlineStr">
        <is>
          <t>IB DEPOSITS (gross)</t>
        </is>
      </c>
      <c r="C124" s="241" t="n">
        <v>197706.57</v>
      </c>
      <c r="D124" s="247" t="inlineStr">
        <is>
          <t>"R$ "#,##0.00</t>
        </is>
      </c>
      <c r="E124" s="201" t="inlineStr">
        <is>
          <t>R$ 197,706.57</t>
        </is>
      </c>
      <c r="F124" s="238" t="inlineStr">
        <is>
          <t>BRL</t>
        </is>
      </c>
      <c r="G124" s="247" t="inlineStr">
        <is>
          <t>BCB Câmbio · IB Deposit</t>
        </is>
      </c>
    </row>
    <row r="125">
      <c r="B125" s="196" t="inlineStr">
        <is>
          <t>IB WITHDRAWAL</t>
        </is>
      </c>
      <c r="C125" s="236" t="n">
        <v>19195.81</v>
      </c>
      <c r="D125" s="243" t="inlineStr">
        <is>
          <t>"R$ "#,##0.00</t>
        </is>
      </c>
      <c r="E125" s="198" t="inlineStr">
        <is>
          <t>R$ 19,195.81</t>
        </is>
      </c>
      <c r="F125" s="233" t="inlineStr">
        <is>
          <t>BRL</t>
        </is>
      </c>
      <c r="G125" s="243" t="inlineStr">
        <is>
          <t>BCB Câmbio · IB Withdraw</t>
        </is>
      </c>
    </row>
    <row r="126">
      <c r="B126" s="181" t="inlineStr">
        <is>
          <t>IB NET DEPLOYED</t>
        </is>
      </c>
      <c r="C126" s="183" t="n">
        <v>178510.76</v>
      </c>
      <c r="D126" s="247" t="inlineStr">
        <is>
          <t>"R$ "#,##0.00</t>
        </is>
      </c>
      <c r="E126" s="201" t="inlineStr">
        <is>
          <t>R$ 178,510.76</t>
        </is>
      </c>
      <c r="F126" s="238" t="inlineStr">
        <is>
          <t>BRL</t>
        </is>
      </c>
      <c r="G126" s="247" t="inlineStr">
        <is>
          <t>Deposits − Withdrawal</t>
        </is>
      </c>
    </row>
    <row r="127">
      <c r="B127" s="196" t="inlineStr">
        <is>
          <t>FUNDOS BRL</t>
        </is>
      </c>
      <c r="C127" s="236" t="n">
        <v>175765.83</v>
      </c>
      <c r="D127" s="243" t="inlineStr">
        <is>
          <t>"R$ "#,##0.00</t>
        </is>
      </c>
      <c r="E127" s="198" t="inlineStr">
        <is>
          <t>R$ 175,765.83</t>
        </is>
      </c>
      <c r="F127" s="233" t="inlineStr">
        <is>
          <t>BRL</t>
        </is>
      </c>
      <c r="G127" s="243" t="inlineStr">
        <is>
          <t>BCB Câmbio · Fund Deposit</t>
        </is>
      </c>
    </row>
    <row r="128">
      <c r="B128" s="181" t="inlineStr">
        <is>
          <t>FX OUTBOUND</t>
        </is>
      </c>
      <c r="C128" s="241" t="n">
        <v>652788.61</v>
      </c>
      <c r="D128" s="247" t="inlineStr">
        <is>
          <t>"R$ "#,##0.00</t>
        </is>
      </c>
      <c r="E128" s="201" t="inlineStr">
        <is>
          <t>R$ 652,788.61</t>
        </is>
      </c>
      <c r="F128" s="238" t="inlineStr">
        <is>
          <t>BRL</t>
        </is>
      </c>
      <c r="G128" s="247" t="inlineStr">
        <is>
          <t>BCB Câmbio · Outbound</t>
        </is>
      </c>
    </row>
    <row r="129">
      <c r="B129" s="196" t="inlineStr">
        <is>
          <t>INBOUND</t>
        </is>
      </c>
      <c r="C129" s="236" t="n">
        <v>98857</v>
      </c>
      <c r="D129" s="243" t="inlineStr">
        <is>
          <t>"R$ "#,##0.00</t>
        </is>
      </c>
      <c r="E129" s="198" t="inlineStr">
        <is>
          <t>R$ 98,857.00</t>
        </is>
      </c>
      <c r="F129" s="233" t="inlineStr">
        <is>
          <t>BRL</t>
        </is>
      </c>
      <c r="G129" s="243" t="inlineStr">
        <is>
          <t>BCB Câmbio · Inbound</t>
        </is>
      </c>
    </row>
    <row r="130">
      <c r="B130" s="181" t="inlineStr">
        <is>
          <t>AVG FX RATE</t>
        </is>
      </c>
      <c r="C130" s="241" t="n">
        <v>5.179926315789474</v>
      </c>
      <c r="D130" s="247" t="inlineStr">
        <is>
          <t>"R$ "0.0000</t>
        </is>
      </c>
      <c r="E130" s="201" t="inlineStr">
        <is>
          <t>5.1799</t>
        </is>
      </c>
      <c r="F130" s="238" t="inlineStr">
        <is>
          <t>BRL/USD</t>
        </is>
      </c>
      <c r="G130" s="247" t="inlineStr">
        <is>
          <t>BCB Câmbio outbound ops</t>
        </is>
      </c>
    </row>
    <row r="131">
      <c r="B131" s="196" t="inlineStr">
        <is>
          <t>CARD SPEND H1</t>
        </is>
      </c>
      <c r="C131" s="236" t="n">
        <v>37245.76</v>
      </c>
      <c r="D131" s="243" t="inlineStr">
        <is>
          <t>"R$ "#,##0.00</t>
        </is>
      </c>
      <c r="E131" s="198" t="inlineStr">
        <is>
          <t>R$ 37,245.76</t>
        </is>
      </c>
      <c r="F131" s="233" t="inlineStr">
        <is>
          <t>BRL</t>
        </is>
      </c>
      <c r="G131" s="243" t="inlineStr">
        <is>
          <t>MP Faturas 146 tx</t>
        </is>
      </c>
    </row>
    <row r="132">
      <c r="B132" s="181" t="inlineStr">
        <is>
          <t>CARD SPEND AVG/MO</t>
        </is>
      </c>
      <c r="C132" s="241" t="n">
        <v>6207.626666666667</v>
      </c>
      <c r="D132" s="247" t="inlineStr">
        <is>
          <t>"R$ "#,##0.00</t>
        </is>
      </c>
      <c r="E132" s="201" t="inlineStr">
        <is>
          <t>R$ 6,207.63</t>
        </is>
      </c>
      <c r="F132" s="238" t="inlineStr">
        <is>
          <t>BRL</t>
        </is>
      </c>
      <c r="G132" s="247" t="inlineStr">
        <is>
          <t>Card Spend / 6 months</t>
        </is>
      </c>
    </row>
    <row r="133">
      <c r="B133" s="196" t="inlineStr">
        <is>
          <t>SUB STACK/MO</t>
        </is>
      </c>
      <c r="C133" s="236" t="n">
        <v>1344.54</v>
      </c>
      <c r="D133" s="243" t="inlineStr">
        <is>
          <t>"R$ "#,##0.00</t>
        </is>
      </c>
      <c r="E133" s="198" t="inlineStr">
        <is>
          <t>R$ 1,344.54</t>
        </is>
      </c>
      <c r="F133" s="233" t="inlineStr">
        <is>
          <t>BRL</t>
        </is>
      </c>
      <c r="G133" s="243" t="inlineStr">
        <is>
          <t>Subscriptions 15 services</t>
        </is>
      </c>
    </row>
    <row r="134">
      <c r="B134" s="181" t="inlineStr">
        <is>
          <t>CANCEL SAVINGS/MO</t>
        </is>
      </c>
      <c r="C134" s="241" t="n">
        <v>365.8</v>
      </c>
      <c r="D134" s="247" t="inlineStr">
        <is>
          <t>"R$ "#,##0.00</t>
        </is>
      </c>
      <c r="E134" s="201" t="inlineStr">
        <is>
          <t>R$ 365.80</t>
        </is>
      </c>
      <c r="F134" s="238" t="inlineStr">
        <is>
          <t>BRL</t>
        </is>
      </c>
      <c r="G134" s="247" t="inlineStr">
        <is>
          <t>CANCEL decision services</t>
        </is>
      </c>
    </row>
    <row r="135">
      <c r="B135" s="196" t="inlineStr">
        <is>
          <t>CANCEL SAVINGS/YR</t>
        </is>
      </c>
      <c r="C135" s="236" t="n">
        <v>4389.599999999999</v>
      </c>
      <c r="D135" s="243" t="inlineStr">
        <is>
          <t>"R$ "#,##0.00</t>
        </is>
      </c>
      <c r="E135" s="198" t="inlineStr">
        <is>
          <t>R$ 4,389.60</t>
        </is>
      </c>
      <c r="F135" s="233" t="inlineStr">
        <is>
          <t>BRL</t>
        </is>
      </c>
      <c r="G135" s="243" t="inlineStr">
        <is>
          <t>Monthly × 12</t>
        </is>
      </c>
    </row>
    <row r="136">
      <c r="B136" s="181" t="inlineStr">
        <is>
          <t>PIX NET FLOW</t>
        </is>
      </c>
      <c r="C136" s="183" t="n">
        <v>144847.62</v>
      </c>
      <c r="D136" s="247" t="inlineStr">
        <is>
          <t>"R$ "#,##0.00</t>
        </is>
      </c>
      <c r="E136" s="201" t="inlineStr">
        <is>
          <t>R$ 144,847.62</t>
        </is>
      </c>
      <c r="F136" s="238" t="inlineStr">
        <is>
          <t>BRL</t>
        </is>
      </c>
      <c r="G136" s="247" t="inlineStr">
        <is>
          <t>Inter PIX In − PIX Out</t>
        </is>
      </c>
    </row>
    <row r="137">
      <c r="B137" s="196" t="inlineStr">
        <is>
          <t>EST NET WORTH</t>
        </is>
      </c>
      <c r="C137" s="184" t="n">
        <v>377473.49</v>
      </c>
      <c r="D137" s="243" t="inlineStr">
        <is>
          <t>"R$ "#,##0.00</t>
        </is>
      </c>
      <c r="E137" s="198" t="inlineStr">
        <is>
          <t>R$ 377,473.49</t>
        </is>
      </c>
      <c r="F137" s="233" t="inlineStr">
        <is>
          <t>BRL</t>
        </is>
      </c>
      <c r="G137" s="243" t="inlineStr">
        <is>
          <t>Liquid + IB Net + Fundos</t>
        </is>
      </c>
    </row>
    <row r="139">
      <c r="B139" s="185" t="inlineStr">
        <is>
          <t>KPI ROW REFERENCE MAP — use these row numbers to build dashboard text box links</t>
        </is>
      </c>
    </row>
    <row r="140">
      <c r="B140" s="186" t="inlineStr">
        <is>
          <t>TOTAL LIQUID  →  CALC!C123  |  Display: CALC!E123</t>
        </is>
      </c>
    </row>
    <row r="141">
      <c r="B141" s="186" t="inlineStr">
        <is>
          <t>IB DEPOSITS (gross)  →  CALC!C124  |  Display: CALC!E124</t>
        </is>
      </c>
    </row>
    <row r="142">
      <c r="B142" s="186" t="inlineStr">
        <is>
          <t>IB WITHDRAWAL  →  CALC!C125  |  Display: CALC!E125</t>
        </is>
      </c>
    </row>
    <row r="143">
      <c r="B143" s="186" t="inlineStr">
        <is>
          <t>IB NET DEPLOYED  →  CALC!C126  |  Display: CALC!E126</t>
        </is>
      </c>
    </row>
    <row r="144">
      <c r="B144" s="186" t="inlineStr">
        <is>
          <t>FUNDOS BRL  →  CALC!C127  |  Display: CALC!E127</t>
        </is>
      </c>
    </row>
    <row r="145">
      <c r="B145" s="186" t="inlineStr">
        <is>
          <t>FX OUTBOUND  →  CALC!C128  |  Display: CALC!E128</t>
        </is>
      </c>
    </row>
    <row r="146">
      <c r="B146" s="186" t="inlineStr">
        <is>
          <t>INBOUND  →  CALC!C129  |  Display: CALC!E129</t>
        </is>
      </c>
    </row>
    <row r="147">
      <c r="B147" s="186" t="inlineStr">
        <is>
          <t>AVG FX RATE  →  CALC!C130  |  Display: CALC!E130</t>
        </is>
      </c>
    </row>
    <row r="148">
      <c r="B148" s="186" t="inlineStr">
        <is>
          <t>CARD SPEND H1  →  CALC!C131  |  Display: CALC!E131</t>
        </is>
      </c>
    </row>
    <row r="149">
      <c r="B149" s="186" t="inlineStr">
        <is>
          <t>CARD SPEND AVG/MO  →  CALC!C132  |  Display: CALC!E132</t>
        </is>
      </c>
    </row>
    <row r="150">
      <c r="B150" s="186" t="inlineStr">
        <is>
          <t>SUB STACK/MO  →  CALC!C133  |  Display: CALC!E133</t>
        </is>
      </c>
    </row>
    <row r="151">
      <c r="B151" s="186" t="inlineStr">
        <is>
          <t>CANCEL SAVINGS/MO  →  CALC!C134  |  Display: CALC!E134</t>
        </is>
      </c>
    </row>
    <row r="152">
      <c r="B152" s="186" t="inlineStr">
        <is>
          <t>CANCEL SAVINGS/YR  →  CALC!C135  |  Display: CALC!E135</t>
        </is>
      </c>
    </row>
    <row r="153">
      <c r="B153" s="186" t="inlineStr">
        <is>
          <t>PIX NET FLOW  →  CALC!C136  |  Display: CALC!E136</t>
        </is>
      </c>
    </row>
    <row r="154">
      <c r="B154" s="186" t="inlineStr">
        <is>
          <t>EST NET WORTH  →  CALC!C137  |  Display: CALC!E137</t>
        </is>
      </c>
    </row>
    <row r="157" ht="16" customHeight="1">
      <c r="B157" s="194" t="inlineStr">
        <is>
          <t>STEP 2 · DISPLAY LAYER — TEXT() formatted KPIs · Feed these cells directly into dashboard text boxes</t>
        </is>
      </c>
      <c r="C157" s="107" t="n"/>
      <c r="D157" s="107" t="n"/>
      <c r="E157" s="107" t="n"/>
      <c r="F157" s="107" t="n"/>
      <c r="G157" s="107" t="n"/>
      <c r="H157" s="107" t="n"/>
      <c r="I157" s="107" t="n"/>
      <c r="J157" s="108" t="n"/>
    </row>
    <row r="158">
      <c r="B158" s="185" t="inlineStr">
        <is>
          <t>Pattern: raw value in col C, format code in col D, TEXT(C,D) formula in col E → col E feeds dashboard text boxes</t>
        </is>
      </c>
    </row>
    <row r="160">
      <c r="B160" s="195" t="inlineStr">
        <is>
          <t>KPI Name</t>
        </is>
      </c>
      <c r="C160" s="195" t="inlineStr">
        <is>
          <t>Raw Value Cell</t>
        </is>
      </c>
      <c r="D160" s="195" t="inlineStr">
        <is>
          <t>Format Code</t>
        </is>
      </c>
      <c r="E160" s="195" t="inlineStr">
        <is>
          <t>TEXT() Display Formula</t>
        </is>
      </c>
      <c r="F160" s="195" t="inlineStr">
        <is>
          <t>Dashboard Label</t>
        </is>
      </c>
      <c r="G160" s="195" t="inlineStr">
        <is>
          <t>Unit</t>
        </is>
      </c>
      <c r="H160" s="195" t="inlineStr">
        <is>
          <t>Color</t>
        </is>
      </c>
    </row>
    <row r="161">
      <c r="B161" s="196" t="inlineStr">
        <is>
          <t>EST NET WORTH</t>
        </is>
      </c>
      <c r="C161" s="219">
        <f>CALC!C137</f>
        <v/>
      </c>
      <c r="D161" s="243" t="inlineStr">
        <is>
          <t>"R$ "#,##0.00</t>
        </is>
      </c>
      <c r="E161" s="196">
        <f>TEXT(C161,D161)</f>
        <v/>
      </c>
      <c r="F161" s="198" t="inlineStr">
        <is>
          <t>Est. Net Worth</t>
        </is>
      </c>
      <c r="G161" s="233" t="inlineStr">
        <is>
          <t>BRL</t>
        </is>
      </c>
      <c r="H161" s="200" t="inlineStr">
        <is>
          <t>orange</t>
        </is>
      </c>
    </row>
    <row r="162">
      <c r="B162" s="201" t="inlineStr">
        <is>
          <t>TOTAL LIQUID</t>
        </is>
      </c>
      <c r="C162" s="222">
        <f>CALC!C123</f>
        <v/>
      </c>
      <c r="D162" s="247" t="inlineStr">
        <is>
          <t>"R$ "#,##0.00</t>
        </is>
      </c>
      <c r="E162" s="201">
        <f>TEXT(C162,D162)</f>
        <v/>
      </c>
      <c r="F162" s="201" t="inlineStr">
        <is>
          <t>Total Liquidity</t>
        </is>
      </c>
      <c r="G162" s="238" t="inlineStr">
        <is>
          <t>BRL</t>
        </is>
      </c>
      <c r="H162" s="204" t="inlineStr">
        <is>
          <t>yellow</t>
        </is>
      </c>
    </row>
    <row r="163">
      <c r="B163" s="205" t="inlineStr">
        <is>
          <t>IB NET DEPLOYED</t>
        </is>
      </c>
      <c r="C163" s="219">
        <f>CALC!C126</f>
        <v/>
      </c>
      <c r="D163" s="243" t="inlineStr">
        <is>
          <t>"R$ "#,##0.00</t>
        </is>
      </c>
      <c r="E163" s="205">
        <f>TEXT(C163,D163)</f>
        <v/>
      </c>
      <c r="F163" s="198" t="inlineStr">
        <is>
          <t>IB Net Deployed</t>
        </is>
      </c>
      <c r="G163" s="233" t="inlineStr">
        <is>
          <t>BRL</t>
        </is>
      </c>
      <c r="H163" s="206" t="inlineStr">
        <is>
          <t>green</t>
        </is>
      </c>
    </row>
    <row r="164">
      <c r="B164" s="207" t="inlineStr">
        <is>
          <t>FUNDOS BRL</t>
        </is>
      </c>
      <c r="C164" s="222">
        <f>CALC!C127</f>
        <v/>
      </c>
      <c r="D164" s="247" t="inlineStr">
        <is>
          <t>"R$ "#,##0.00</t>
        </is>
      </c>
      <c r="E164" s="207">
        <f>TEXT(C164,D164)</f>
        <v/>
      </c>
      <c r="F164" s="201" t="inlineStr">
        <is>
          <t>Fundos BRL</t>
        </is>
      </c>
      <c r="G164" s="238" t="inlineStr">
        <is>
          <t>BRL</t>
        </is>
      </c>
      <c r="H164" s="208" t="inlineStr">
        <is>
          <t>green</t>
        </is>
      </c>
    </row>
    <row r="165">
      <c r="B165" s="209" t="inlineStr">
        <is>
          <t>FX OUTBOUND</t>
        </is>
      </c>
      <c r="C165" s="219">
        <f>CALC!C128</f>
        <v/>
      </c>
      <c r="D165" s="243" t="inlineStr">
        <is>
          <t>"R$ "#,##0.00</t>
        </is>
      </c>
      <c r="E165" s="209">
        <f>TEXT(C165,D165)</f>
        <v/>
      </c>
      <c r="F165" s="198" t="inlineStr">
        <is>
          <t>FX Outbound H1</t>
        </is>
      </c>
      <c r="G165" s="233" t="inlineStr">
        <is>
          <t>BRL</t>
        </is>
      </c>
      <c r="H165" s="210" t="inlineStr">
        <is>
          <t>red</t>
        </is>
      </c>
    </row>
    <row r="166">
      <c r="B166" s="207" t="inlineStr">
        <is>
          <t>INBOUND</t>
        </is>
      </c>
      <c r="C166" s="222">
        <f>CALC!C129</f>
        <v/>
      </c>
      <c r="D166" s="247" t="inlineStr">
        <is>
          <t>"R$ "#,##0.00</t>
        </is>
      </c>
      <c r="E166" s="207">
        <f>TEXT(C166,D166)</f>
        <v/>
      </c>
      <c r="F166" s="201" t="inlineStr">
        <is>
          <t>Inbound H1</t>
        </is>
      </c>
      <c r="G166" s="238" t="inlineStr">
        <is>
          <t>BRL</t>
        </is>
      </c>
      <c r="H166" s="208" t="inlineStr">
        <is>
          <t>green</t>
        </is>
      </c>
    </row>
    <row r="167">
      <c r="B167" s="211" t="inlineStr">
        <is>
          <t>AVG FX RATE</t>
        </is>
      </c>
      <c r="C167" s="219">
        <f>CALC!C130</f>
        <v/>
      </c>
      <c r="D167" s="243" t="inlineStr">
        <is>
          <t>0.0000</t>
        </is>
      </c>
      <c r="E167" s="211">
        <f>TEXT(C167,D167)</f>
        <v/>
      </c>
      <c r="F167" s="198" t="inlineStr">
        <is>
          <t>Avg FX Rate</t>
        </is>
      </c>
      <c r="G167" s="233" t="inlineStr">
        <is>
          <t>BRL/USD</t>
        </is>
      </c>
      <c r="H167" s="244" t="inlineStr">
        <is>
          <t>blue</t>
        </is>
      </c>
    </row>
    <row r="168">
      <c r="B168" s="207" t="inlineStr">
        <is>
          <t>IB DEPOSITS gross</t>
        </is>
      </c>
      <c r="C168" s="222">
        <f>CALC!C124</f>
        <v/>
      </c>
      <c r="D168" s="247" t="inlineStr">
        <is>
          <t>"R$ "#,##0.00</t>
        </is>
      </c>
      <c r="E168" s="207">
        <f>TEXT(C168,D168)</f>
        <v/>
      </c>
      <c r="F168" s="201" t="inlineStr">
        <is>
          <t>IB Deposits (gross)</t>
        </is>
      </c>
      <c r="G168" s="238" t="inlineStr">
        <is>
          <t>BRL</t>
        </is>
      </c>
      <c r="H168" s="208" t="inlineStr">
        <is>
          <t>green</t>
        </is>
      </c>
    </row>
    <row r="169">
      <c r="B169" s="209" t="inlineStr">
        <is>
          <t>IB WITHDRAWAL</t>
        </is>
      </c>
      <c r="C169" s="219">
        <f>CALC!C125</f>
        <v/>
      </c>
      <c r="D169" s="243" t="inlineStr">
        <is>
          <t>"R$ "#,##0.00</t>
        </is>
      </c>
      <c r="E169" s="209">
        <f>TEXT(C169,D169)</f>
        <v/>
      </c>
      <c r="F169" s="198" t="inlineStr">
        <is>
          <t>IB Withdrawal</t>
        </is>
      </c>
      <c r="G169" s="233" t="inlineStr">
        <is>
          <t>BRL</t>
        </is>
      </c>
      <c r="H169" s="210" t="inlineStr">
        <is>
          <t>red</t>
        </is>
      </c>
    </row>
    <row r="170">
      <c r="B170" s="213" t="inlineStr">
        <is>
          <t>CARD SPEND H1</t>
        </is>
      </c>
      <c r="C170" s="222">
        <f>CALC!C131</f>
        <v/>
      </c>
      <c r="D170" s="247" t="inlineStr">
        <is>
          <t>"R$ "#,##0.00</t>
        </is>
      </c>
      <c r="E170" s="213">
        <f>TEXT(C170,D170)</f>
        <v/>
      </c>
      <c r="F170" s="201" t="inlineStr">
        <is>
          <t>Card Spend H1</t>
        </is>
      </c>
      <c r="G170" s="238" t="inlineStr">
        <is>
          <t>BRL</t>
        </is>
      </c>
      <c r="H170" s="214" t="inlineStr">
        <is>
          <t>red</t>
        </is>
      </c>
    </row>
    <row r="171">
      <c r="B171" s="198" t="inlineStr">
        <is>
          <t>CARD SPEND AVG MO</t>
        </is>
      </c>
      <c r="C171" s="219">
        <f>CALC!C132</f>
        <v/>
      </c>
      <c r="D171" s="243" t="inlineStr">
        <is>
          <t>"R$ "#,##0.00</t>
        </is>
      </c>
      <c r="E171" s="198">
        <f>TEXT(C171,D171)</f>
        <v/>
      </c>
      <c r="F171" s="198" t="inlineStr">
        <is>
          <t>Card Avg / Month</t>
        </is>
      </c>
      <c r="G171" s="233" t="inlineStr">
        <is>
          <t>BRL</t>
        </is>
      </c>
      <c r="H171" s="215" t="inlineStr">
        <is>
          <t>yellow</t>
        </is>
      </c>
    </row>
    <row r="172">
      <c r="B172" s="217" t="inlineStr">
        <is>
          <t>PIX NET FLOW</t>
        </is>
      </c>
      <c r="C172" s="222">
        <f>CALC!C136</f>
        <v/>
      </c>
      <c r="D172" s="247" t="inlineStr">
        <is>
          <t>"R$ "#,##0.00</t>
        </is>
      </c>
      <c r="E172" s="217">
        <f>TEXT(C172,D172)</f>
        <v/>
      </c>
      <c r="F172" s="201" t="inlineStr">
        <is>
          <t>PIX Net Flow</t>
        </is>
      </c>
      <c r="G172" s="238" t="inlineStr">
        <is>
          <t>BRL</t>
        </is>
      </c>
      <c r="H172" s="218" t="inlineStr">
        <is>
          <t>cyan</t>
        </is>
      </c>
    </row>
    <row r="173">
      <c r="B173" s="209" t="inlineStr">
        <is>
          <t>SUB STACK MO</t>
        </is>
      </c>
      <c r="C173" s="219">
        <f>CALC!C133</f>
        <v/>
      </c>
      <c r="D173" s="243" t="inlineStr">
        <is>
          <t>"R$ "#,##0.00</t>
        </is>
      </c>
      <c r="E173" s="209">
        <f>TEXT(C173,D173)</f>
        <v/>
      </c>
      <c r="F173" s="198" t="inlineStr">
        <is>
          <t>Sub Stack / Month</t>
        </is>
      </c>
      <c r="G173" s="233" t="inlineStr">
        <is>
          <t>BRL</t>
        </is>
      </c>
      <c r="H173" s="210" t="inlineStr">
        <is>
          <t>red</t>
        </is>
      </c>
    </row>
    <row r="174">
      <c r="B174" s="207" t="inlineStr">
        <is>
          <t>CANCEL SAVINGS MO</t>
        </is>
      </c>
      <c r="C174" s="222">
        <f>CALC!C134</f>
        <v/>
      </c>
      <c r="D174" s="247" t="inlineStr">
        <is>
          <t>"R$ "#,##0.00</t>
        </is>
      </c>
      <c r="E174" s="207">
        <f>TEXT(C174,D174)</f>
        <v/>
      </c>
      <c r="F174" s="201" t="inlineStr">
        <is>
          <t>Cancel Savings / Mo</t>
        </is>
      </c>
      <c r="G174" s="238" t="inlineStr">
        <is>
          <t>BRL</t>
        </is>
      </c>
      <c r="H174" s="208" t="inlineStr">
        <is>
          <t>green</t>
        </is>
      </c>
    </row>
    <row r="175">
      <c r="B175" s="205" t="inlineStr">
        <is>
          <t>CANCEL SAVINGS YR</t>
        </is>
      </c>
      <c r="C175" s="219">
        <f>CALC!C135</f>
        <v/>
      </c>
      <c r="D175" s="243" t="inlineStr">
        <is>
          <t>"R$ "#,##0.00</t>
        </is>
      </c>
      <c r="E175" s="205">
        <f>TEXT(C175,D175)</f>
        <v/>
      </c>
      <c r="F175" s="198" t="inlineStr">
        <is>
          <t>Cancel Savings / Yr</t>
        </is>
      </c>
      <c r="G175" s="233" t="inlineStr">
        <is>
          <t>BRL</t>
        </is>
      </c>
      <c r="H175" s="206" t="inlineStr">
        <is>
          <t>green</t>
        </is>
      </c>
    </row>
    <row r="177" ht="16" customHeight="1">
      <c r="B177" s="194" t="inlineStr">
        <is>
          <t>STEP 2b · MoM CHANGE DISPLAY — Most Recent First · Reverse-sorted so row 1 = latest month always</t>
        </is>
      </c>
      <c r="C177" s="107" t="n"/>
      <c r="D177" s="107" t="n"/>
      <c r="E177" s="107" t="n"/>
      <c r="F177" s="107" t="n"/>
      <c r="G177" s="107" t="n"/>
      <c r="H177" s="107" t="n"/>
      <c r="I177" s="107" t="n"/>
      <c r="J177" s="108" t="n"/>
    </row>
    <row r="178">
      <c r="B178" s="195" t="inlineStr">
        <is>
          <t>Month (newest first)</t>
        </is>
      </c>
      <c r="C178" s="195" t="inlineStr">
        <is>
          <t>Spend</t>
        </is>
      </c>
      <c r="D178" s="195" t="inlineStr">
        <is>
          <t>Prev Month</t>
        </is>
      </c>
      <c r="E178" s="195" t="inlineStr">
        <is>
          <t>MoM Raw %</t>
        </is>
      </c>
      <c r="F178" s="195" t="inlineStr">
        <is>
          <t>MoM TEXT()</t>
        </is>
      </c>
      <c r="G178" s="195" t="inlineStr">
        <is>
          <t>Arrow</t>
        </is>
      </c>
      <c r="H178" s="195" t="inlineStr">
        <is>
          <t>Signal</t>
        </is>
      </c>
    </row>
    <row r="179">
      <c r="B179" s="233" t="inlineStr">
        <is>
          <t>2026-06</t>
        </is>
      </c>
      <c r="C179" s="219" t="n">
        <v>1114.17</v>
      </c>
      <c r="D179" s="219" t="n">
        <v>3308.38</v>
      </c>
      <c r="E179" s="220" t="n">
        <v>-0.6632279242408671</v>
      </c>
      <c r="F179" s="221">
        <f>TEXT(E179,"+0.0%;-0.0%")</f>
        <v/>
      </c>
      <c r="G179" s="210" t="inlineStr">
        <is>
          <t>▼</t>
        </is>
      </c>
      <c r="H179" s="210" t="inlineStr">
        <is>
          <t>LOWER</t>
        </is>
      </c>
    </row>
    <row r="180">
      <c r="B180" s="238" t="inlineStr">
        <is>
          <t>2026-05</t>
        </is>
      </c>
      <c r="C180" s="222" t="n">
        <v>3308.38</v>
      </c>
      <c r="D180" s="222" t="n">
        <v>5330.44</v>
      </c>
      <c r="E180" s="223" t="n">
        <v>-0.3793420430583591</v>
      </c>
      <c r="F180" s="224">
        <f>TEXT(E180,"+0.0%;-0.0%")</f>
        <v/>
      </c>
      <c r="G180" s="214" t="inlineStr">
        <is>
          <t>▼</t>
        </is>
      </c>
      <c r="H180" s="214" t="inlineStr">
        <is>
          <t>LOWER</t>
        </is>
      </c>
    </row>
    <row r="181">
      <c r="B181" s="233" t="inlineStr">
        <is>
          <t>2026-04</t>
        </is>
      </c>
      <c r="C181" s="219" t="n">
        <v>5330.44</v>
      </c>
      <c r="D181" s="219" t="n">
        <v>14231.47</v>
      </c>
      <c r="E181" s="220" t="n">
        <v>-0.6254469847457781</v>
      </c>
      <c r="F181" s="221">
        <f>TEXT(E181,"+0.0%;-0.0%")</f>
        <v/>
      </c>
      <c r="G181" s="210" t="inlineStr">
        <is>
          <t>▼</t>
        </is>
      </c>
      <c r="H181" s="210" t="inlineStr">
        <is>
          <t>LOWER</t>
        </is>
      </c>
    </row>
    <row r="182">
      <c r="B182" s="238" t="inlineStr">
        <is>
          <t>2026-03</t>
        </is>
      </c>
      <c r="C182" s="222" t="n">
        <v>14231.47</v>
      </c>
      <c r="D182" s="222" t="n">
        <v>9515.9</v>
      </c>
      <c r="E182" s="225" t="n">
        <v>0.4955464012862683</v>
      </c>
      <c r="F182" s="226">
        <f>TEXT(E182,"+0.0%;-0.0%")</f>
        <v/>
      </c>
      <c r="G182" s="208" t="inlineStr">
        <is>
          <t>▲</t>
        </is>
      </c>
      <c r="H182" s="208" t="inlineStr">
        <is>
          <t>HIGHER</t>
        </is>
      </c>
    </row>
    <row r="183">
      <c r="B183" s="233" t="inlineStr">
        <is>
          <t>2026-02</t>
        </is>
      </c>
      <c r="C183" s="219" t="n">
        <v>9515.9</v>
      </c>
      <c r="D183" s="219" t="n">
        <v>3745.4</v>
      </c>
      <c r="E183" s="227" t="n">
        <v>1.540689912959897</v>
      </c>
      <c r="F183" s="228">
        <f>TEXT(E183,"+0.0%;-0.0%")</f>
        <v/>
      </c>
      <c r="G183" s="206" t="inlineStr">
        <is>
          <t>▲</t>
        </is>
      </c>
      <c r="H183" s="206" t="inlineStr">
        <is>
          <t>HIGHER</t>
        </is>
      </c>
    </row>
    <row r="184">
      <c r="B184" s="238" t="inlineStr">
        <is>
          <t>2026-01</t>
        </is>
      </c>
      <c r="C184" s="222" t="n">
        <v>3745.4</v>
      </c>
      <c r="D184" s="222" t="n">
        <v>0</v>
      </c>
      <c r="E184" s="225" t="n">
        <v>0</v>
      </c>
      <c r="F184" s="226">
        <f>TEXT(E184,"+0.0%;-0.0%")</f>
        <v/>
      </c>
      <c r="G184" s="208" t="inlineStr">
        <is>
          <t>▲</t>
        </is>
      </c>
      <c r="H184" s="208" t="inlineStr">
        <is>
          <t>HIGHER</t>
        </is>
      </c>
    </row>
    <row r="187" ht="16" customHeight="1">
      <c r="B187" s="194" t="inlineStr">
        <is>
          <t>STEP 2 REFERENCE — Paste these addresses into dashboard text boxes</t>
        </is>
      </c>
      <c r="C187" s="107" t="n"/>
      <c r="D187" s="107" t="n"/>
      <c r="E187" s="107" t="n"/>
      <c r="F187" s="107" t="n"/>
      <c r="G187" s="107" t="n"/>
      <c r="H187" s="107" t="n"/>
      <c r="I187" s="107" t="n"/>
      <c r="J187" s="108" t="n"/>
    </row>
    <row r="188">
      <c r="B188" s="185" t="inlineStr">
        <is>
          <t>HOW TO USE: Select any text box on the dashboard → click formula bar → type = → navigate to the cell below</t>
        </is>
      </c>
    </row>
    <row r="189">
      <c r="B189" s="185" t="inlineStr">
        <is>
          <t>Example: select KPI tile text box, type =CALC!E{row_number} → press Enter → tile shows live formatted value</t>
        </is>
      </c>
    </row>
    <row r="190">
      <c r="B190" s="185" t="inlineStr">
        <is>
          <t>To change number format: edit column D (format code) in this sheet → all linked text boxes update instantly</t>
        </is>
      </c>
    </row>
    <row r="191">
      <c r="B191" s="229" t="inlineStr"/>
    </row>
    <row r="192">
      <c r="B192" s="230" t="inlineStr">
        <is>
          <t>KEY DISPLAY CELLS (column E = TEXT() formatted, ready for text boxes):</t>
        </is>
      </c>
    </row>
    <row r="193">
      <c r="B193" s="231" t="inlineStr">
        <is>
          <t xml:space="preserve">  Est. Net Worth                  →  CALC!E161</t>
        </is>
      </c>
    </row>
    <row r="194">
      <c r="B194" s="231" t="inlineStr">
        <is>
          <t xml:space="preserve">  Total Liquidity                 →  CALC!E162</t>
        </is>
      </c>
    </row>
    <row r="195">
      <c r="B195" s="231" t="inlineStr">
        <is>
          <t xml:space="preserve">  IB Net Deployed                 →  CALC!E163</t>
        </is>
      </c>
    </row>
    <row r="196">
      <c r="B196" s="231" t="inlineStr">
        <is>
          <t xml:space="preserve">  Fundos BRL                      →  CALC!E164</t>
        </is>
      </c>
    </row>
    <row r="197">
      <c r="B197" s="231" t="inlineStr">
        <is>
          <t xml:space="preserve">  FX Outbound H1                  →  CALC!E165</t>
        </is>
      </c>
    </row>
    <row r="198">
      <c r="B198" s="231" t="inlineStr">
        <is>
          <t xml:space="preserve">  Inbound H1                      →  CALC!E166</t>
        </is>
      </c>
    </row>
    <row r="199">
      <c r="B199" s="231" t="inlineStr">
        <is>
          <t xml:space="preserve">  Avg FX Rate                     →  CALC!E167</t>
        </is>
      </c>
    </row>
    <row r="200">
      <c r="B200" s="231" t="inlineStr">
        <is>
          <t xml:space="preserve">  IB Deposits (gross)             →  CALC!E168</t>
        </is>
      </c>
    </row>
    <row r="201">
      <c r="B201" s="231" t="inlineStr">
        <is>
          <t xml:space="preserve">  IB Withdrawal                   →  CALC!E169</t>
        </is>
      </c>
    </row>
    <row r="202">
      <c r="B202" s="231" t="inlineStr">
        <is>
          <t xml:space="preserve">  Card Spend H1                   →  CALC!E170</t>
        </is>
      </c>
    </row>
    <row r="203">
      <c r="B203" s="231" t="inlineStr">
        <is>
          <t xml:space="preserve">  Card Avg / Month                →  CALC!E171</t>
        </is>
      </c>
    </row>
    <row r="204">
      <c r="B204" s="231" t="inlineStr">
        <is>
          <t xml:space="preserve">  PIX Net Flow                    →  CALC!E172</t>
        </is>
      </c>
    </row>
    <row r="205">
      <c r="B205" s="231" t="inlineStr">
        <is>
          <t xml:space="preserve">  Sub Stack / Month               →  CALC!E173</t>
        </is>
      </c>
    </row>
    <row r="206">
      <c r="B206" s="231" t="inlineStr">
        <is>
          <t xml:space="preserve">  Cancel Savings / Mo             →  CALC!E174</t>
        </is>
      </c>
    </row>
    <row r="207">
      <c r="B207" s="231" t="inlineStr">
        <is>
          <t xml:space="preserve">  Cancel Savings / Yr             →  CALC!E175</t>
        </is>
      </c>
    </row>
    <row r="209">
      <c r="B209" s="230" t="inlineStr">
        <is>
          <t>MoM DISPLAY CELLS (col F = TEXT formatted %):</t>
        </is>
      </c>
    </row>
    <row r="210">
      <c r="B210" s="231" t="inlineStr">
        <is>
          <t xml:space="preserve">  2026-06  MoM%  →  CALC!F179  |  Arrow  →  CALC!G179</t>
        </is>
      </c>
    </row>
    <row r="211">
      <c r="B211" s="231" t="inlineStr">
        <is>
          <t xml:space="preserve">  2026-05  MoM%  →  CALC!F180  |  Arrow  →  CALC!G180</t>
        </is>
      </c>
    </row>
    <row r="212">
      <c r="B212" s="231" t="inlineStr">
        <is>
          <t xml:space="preserve">  2026-04  MoM%  →  CALC!F181  |  Arrow  →  CALC!G181</t>
        </is>
      </c>
    </row>
    <row r="213">
      <c r="B213" s="231" t="inlineStr">
        <is>
          <t xml:space="preserve">  2026-03  MoM%  →  CALC!F182  |  Arrow  →  CALC!G182</t>
        </is>
      </c>
    </row>
    <row r="214">
      <c r="B214" s="231" t="inlineStr">
        <is>
          <t xml:space="preserve">  2026-02  MoM%  →  CALC!F183  |  Arrow  →  CALC!G183</t>
        </is>
      </c>
    </row>
    <row r="215">
      <c r="B215" s="231" t="inlineStr">
        <is>
          <t xml:space="preserve">  2026-01  MoM%  →  CALC!F184  |  Arrow  →  CALC!G184</t>
        </is>
      </c>
    </row>
    <row r="218" ht="16" customHeight="1">
      <c r="B218" s="194" t="inlineStr">
        <is>
          <t>STEP 3 · REVERSE-SORTED MONTHLY TABLE — newest month always = row 1 · MoM formulas reference fixed offsets, never break on new data</t>
        </is>
      </c>
      <c r="C218" s="107" t="n"/>
      <c r="D218" s="107" t="n"/>
      <c r="E218" s="107" t="n"/>
      <c r="F218" s="107" t="n"/>
      <c r="G218" s="107" t="n"/>
      <c r="H218" s="107" t="n"/>
      <c r="I218" s="107" t="n"/>
      <c r="J218" s="107" t="n"/>
      <c r="K218" s="108" t="n"/>
    </row>
    <row r="219">
      <c r="B219" s="185" t="inlineStr">
        <is>
          <t>Row 1 = most recent month. MoM% always = (Row1-Row2)/Row2. Add July data → table grows → formulas stay correct automatically.</t>
        </is>
      </c>
    </row>
    <row r="220">
      <c r="B220" s="232" t="inlineStr">
        <is>
          <t>Month</t>
        </is>
      </c>
      <c r="C220" s="232" t="inlineStr">
        <is>
          <t>Card Spend</t>
        </is>
      </c>
      <c r="D220" s="232" t="inlineStr">
        <is>
          <t>Card Txs</t>
        </is>
      </c>
      <c r="E220" s="232" t="inlineStr">
        <is>
          <t>PIX In</t>
        </is>
      </c>
      <c r="F220" s="232" t="inlineStr">
        <is>
          <t>PIX Out</t>
        </is>
      </c>
      <c r="G220" s="232" t="inlineStr">
        <is>
          <t>PIX Net</t>
        </is>
      </c>
      <c r="H220" s="232" t="inlineStr">
        <is>
          <t>FX Out</t>
        </is>
      </c>
      <c r="I220" s="232" t="inlineStr">
        <is>
          <t>FX In</t>
        </is>
      </c>
      <c r="J220" s="232" t="inlineStr">
        <is>
          <t>IOF</t>
        </is>
      </c>
      <c r="K220" s="232" t="inlineStr">
        <is>
          <t>Net Flow</t>
        </is>
      </c>
    </row>
    <row r="221">
      <c r="B221" s="233" t="inlineStr">
        <is>
          <t>2026-06</t>
        </is>
      </c>
      <c r="C221" s="234" t="n">
        <v>1114.17</v>
      </c>
      <c r="D221" s="235" t="n">
        <v>13</v>
      </c>
      <c r="E221" s="236" t="n">
        <v>0</v>
      </c>
      <c r="F221" s="234" t="n">
        <v>0</v>
      </c>
      <c r="G221" s="236" t="n">
        <v>0</v>
      </c>
      <c r="H221" s="234" t="n">
        <v>329502.34</v>
      </c>
      <c r="I221" s="236" t="n">
        <v>268019.69</v>
      </c>
      <c r="J221" s="237" t="n">
        <v>0</v>
      </c>
      <c r="K221" s="234" t="n">
        <v>-62596.81999999995</v>
      </c>
    </row>
    <row r="222">
      <c r="B222" s="238" t="inlineStr">
        <is>
          <t>2026-05</t>
        </is>
      </c>
      <c r="C222" s="239" t="n">
        <v>3308.38</v>
      </c>
      <c r="D222" s="240" t="n">
        <v>29</v>
      </c>
      <c r="E222" s="241" t="n">
        <v>0</v>
      </c>
      <c r="F222" s="239" t="n">
        <v>0</v>
      </c>
      <c r="G222" s="241" t="n">
        <v>0</v>
      </c>
      <c r="H222" s="239" t="n">
        <v>195934.86</v>
      </c>
      <c r="I222" s="241" t="n">
        <v>202734.87</v>
      </c>
      <c r="J222" s="242" t="n">
        <v>0</v>
      </c>
      <c r="K222" s="241" t="n">
        <v>3491.630000000005</v>
      </c>
    </row>
    <row r="223">
      <c r="B223" s="233" t="inlineStr">
        <is>
          <t>2026-04</t>
        </is>
      </c>
      <c r="C223" s="234" t="n">
        <v>5330.44</v>
      </c>
      <c r="D223" s="235" t="n">
        <v>33</v>
      </c>
      <c r="E223" s="236" t="n">
        <v>0</v>
      </c>
      <c r="F223" s="234" t="n">
        <v>0</v>
      </c>
      <c r="G223" s="236" t="n">
        <v>0</v>
      </c>
      <c r="H223" s="234" t="n">
        <v>15878.08</v>
      </c>
      <c r="I223" s="236" t="n">
        <v>503.62</v>
      </c>
      <c r="J223" s="237" t="n">
        <v>0</v>
      </c>
      <c r="K223" s="234" t="n">
        <v>-20704.9</v>
      </c>
    </row>
    <row r="224">
      <c r="B224" s="238" t="inlineStr">
        <is>
          <t>2026-03</t>
        </is>
      </c>
      <c r="C224" s="239" t="n">
        <v>14231.47</v>
      </c>
      <c r="D224" s="240" t="n">
        <v>32</v>
      </c>
      <c r="E224" s="241" t="n">
        <v>0</v>
      </c>
      <c r="F224" s="239" t="n">
        <v>0</v>
      </c>
      <c r="G224" s="241" t="n">
        <v>0</v>
      </c>
      <c r="H224" s="239" t="n">
        <v>47864.68</v>
      </c>
      <c r="I224" s="241" t="n">
        <v>0</v>
      </c>
      <c r="J224" s="242" t="n">
        <v>0</v>
      </c>
      <c r="K224" s="239" t="n">
        <v>-62096.15</v>
      </c>
    </row>
    <row r="225">
      <c r="B225" s="233" t="inlineStr">
        <is>
          <t>2026-02</t>
        </is>
      </c>
      <c r="C225" s="234" t="n">
        <v>9515.9</v>
      </c>
      <c r="D225" s="235" t="n">
        <v>21</v>
      </c>
      <c r="E225" s="236" t="n">
        <v>0</v>
      </c>
      <c r="F225" s="234" t="n">
        <v>0</v>
      </c>
      <c r="G225" s="236" t="n">
        <v>0</v>
      </c>
      <c r="H225" s="234" t="n">
        <v>31658.75</v>
      </c>
      <c r="I225" s="236" t="n">
        <v>0</v>
      </c>
      <c r="J225" s="237" t="n">
        <v>0</v>
      </c>
      <c r="K225" s="234" t="n">
        <v>-41174.65</v>
      </c>
    </row>
    <row r="226">
      <c r="B226" s="238" t="inlineStr">
        <is>
          <t>2026-01</t>
        </is>
      </c>
      <c r="C226" s="239" t="n">
        <v>3745.4</v>
      </c>
      <c r="D226" s="240" t="n">
        <v>18</v>
      </c>
      <c r="E226" s="241" t="n">
        <v>0</v>
      </c>
      <c r="F226" s="239" t="n">
        <v>0</v>
      </c>
      <c r="G226" s="241" t="n">
        <v>0</v>
      </c>
      <c r="H226" s="239" t="n">
        <v>31949.9</v>
      </c>
      <c r="I226" s="241" t="n">
        <v>1071.22</v>
      </c>
      <c r="J226" s="242" t="n">
        <v>0</v>
      </c>
      <c r="K226" s="239" t="n">
        <v>-34624.08</v>
      </c>
    </row>
    <row r="227">
      <c r="B227" s="120" t="inlineStr">
        <is>
          <t>TOTAL H1 2026</t>
        </is>
      </c>
      <c r="C227" s="121">
        <f>SUM(C221:C226)</f>
        <v/>
      </c>
      <c r="D227" s="157">
        <f>SUM(D221:D226)</f>
        <v/>
      </c>
      <c r="E227" s="121">
        <f>SUM(E221:E226)</f>
        <v/>
      </c>
      <c r="F227" s="121">
        <f>SUM(F221:F226)</f>
        <v/>
      </c>
      <c r="G227" s="121">
        <f>SUM(G221:G226)</f>
        <v/>
      </c>
      <c r="H227" s="121">
        <f>SUM(H221:H226)</f>
        <v/>
      </c>
      <c r="I227" s="121">
        <f>SUM(I221:I226)</f>
        <v/>
      </c>
      <c r="J227" s="121">
        <f>SUM(J221:J226)</f>
        <v/>
      </c>
      <c r="K227" s="121">
        <f>SUM(K221:K226)</f>
        <v/>
      </c>
    </row>
    <row r="229">
      <c r="B229" s="194" t="inlineStr">
        <is>
          <t>STEP 3b · MoM CHANGE FORMULAS — row 1 vs row 2 (never needs updating)</t>
        </is>
      </c>
      <c r="C229" s="107" t="n"/>
      <c r="D229" s="107" t="n"/>
      <c r="E229" s="107" t="n"/>
      <c r="F229" s="107" t="n"/>
      <c r="G229" s="107" t="n"/>
      <c r="H229" s="107" t="n"/>
      <c r="I229" s="107" t="n"/>
      <c r="J229" s="107" t="n"/>
      <c r="K229" s="108" t="n"/>
    </row>
    <row r="230">
      <c r="B230" s="185" t="inlineStr">
        <is>
          <t>These formulas always reference table_data_start and table_data_start+1. When you add a new month and refresh, MoM auto-updates.</t>
        </is>
      </c>
    </row>
    <row r="231">
      <c r="B231" s="232" t="inlineStr">
        <is>
          <t>Metric</t>
        </is>
      </c>
      <c r="C231" s="232" t="inlineStr">
        <is>
          <t>This Month Cell</t>
        </is>
      </c>
      <c r="D231" s="232" t="inlineStr">
        <is>
          <t>Last Month Cell</t>
        </is>
      </c>
      <c r="E231" s="232" t="inlineStr">
        <is>
          <t>MoM Raw Formula</t>
        </is>
      </c>
      <c r="F231" s="232" t="inlineStr">
        <is>
          <t>MoM %</t>
        </is>
      </c>
      <c r="G231" s="232" t="inlineStr">
        <is>
          <t>TEXT() Display</t>
        </is>
      </c>
      <c r="H231" s="232" t="inlineStr">
        <is>
          <t>Arrow</t>
        </is>
      </c>
    </row>
    <row r="232">
      <c r="B232" s="243" t="inlineStr">
        <is>
          <t>Card Spend</t>
        </is>
      </c>
      <c r="C232" s="244" t="inlineStr">
        <is>
          <t>C221</t>
        </is>
      </c>
      <c r="D232" s="233" t="inlineStr">
        <is>
          <t>C222</t>
        </is>
      </c>
      <c r="E232" s="246">
        <f>(C221-C222)/C222</f>
        <v/>
      </c>
      <c r="F232" s="246">
        <f>IF(C222&lt;&gt;0,(C221-C222)/C222,"")</f>
        <v/>
      </c>
      <c r="G232" s="243">
        <f>IF(F232&lt;&gt;"",TEXT(F232,"+0.0%;-0.0%")&amp;" "&amp;IF(F232&gt;=0,"▲","▼"),"")</f>
        <v/>
      </c>
      <c r="H232" s="233">
        <f>IF(F232&lt;&gt;"",IF(F232&gt;=0,"▲","▼"),"")</f>
        <v/>
      </c>
    </row>
    <row r="233">
      <c r="B233" s="247" t="inlineStr">
        <is>
          <t>PIX In</t>
        </is>
      </c>
      <c r="C233" s="248" t="inlineStr">
        <is>
          <t>E221</t>
        </is>
      </c>
      <c r="D233" s="238" t="inlineStr">
        <is>
          <t>E222</t>
        </is>
      </c>
      <c r="E233" s="250">
        <f>(E221-E222)/E222</f>
        <v/>
      </c>
      <c r="F233" s="250">
        <f>IF(E222&lt;&gt;0,(E221-E222)/E222,"")</f>
        <v/>
      </c>
      <c r="G233" s="247">
        <f>IF(F233&lt;&gt;"",TEXT(F233,"+0.0%;-0.0%")&amp;" "&amp;IF(F233&gt;=0,"▲","▼"),"")</f>
        <v/>
      </c>
      <c r="H233" s="238">
        <f>IF(F233&lt;&gt;"",IF(F233&gt;=0,"▲","▼"),"")</f>
        <v/>
      </c>
    </row>
    <row r="234">
      <c r="B234" s="243" t="inlineStr">
        <is>
          <t>PIX Out</t>
        </is>
      </c>
      <c r="C234" s="244" t="inlineStr">
        <is>
          <t>F221</t>
        </is>
      </c>
      <c r="D234" s="233" t="inlineStr">
        <is>
          <t>F222</t>
        </is>
      </c>
      <c r="E234" s="246">
        <f>(F221-F222)/F222</f>
        <v/>
      </c>
      <c r="F234" s="246">
        <f>IF(F222&lt;&gt;0,(F221-F222)/F222,"")</f>
        <v/>
      </c>
      <c r="G234" s="243">
        <f>IF(F234&lt;&gt;"",TEXT(F234,"+0.0%;-0.0%")&amp;" "&amp;IF(F234&gt;=0,"▲","▼"),"")</f>
        <v/>
      </c>
      <c r="H234" s="233">
        <f>IF(F234&lt;&gt;"",IF(F234&gt;=0,"▲","▼"),"")</f>
        <v/>
      </c>
    </row>
    <row r="235">
      <c r="B235" s="247" t="inlineStr">
        <is>
          <t>PIX Net</t>
        </is>
      </c>
      <c r="C235" s="248" t="inlineStr">
        <is>
          <t>G221</t>
        </is>
      </c>
      <c r="D235" s="238" t="inlineStr">
        <is>
          <t>G222</t>
        </is>
      </c>
      <c r="E235" s="250">
        <f>(G221-G222)/G222</f>
        <v/>
      </c>
      <c r="F235" s="250">
        <f>IF(G222&lt;&gt;0,(G221-G222)/G222,"")</f>
        <v/>
      </c>
      <c r="G235" s="247">
        <f>IF(F235&lt;&gt;"",TEXT(F235,"+0.0%;-0.0%")&amp;" "&amp;IF(F235&gt;=0,"▲","▼"),"")</f>
        <v/>
      </c>
      <c r="H235" s="238">
        <f>IF(F235&lt;&gt;"",IF(F235&gt;=0,"▲","▼"),"")</f>
        <v/>
      </c>
    </row>
    <row r="236">
      <c r="B236" s="243" t="inlineStr">
        <is>
          <t>FX Out</t>
        </is>
      </c>
      <c r="C236" s="244" t="inlineStr">
        <is>
          <t>H221</t>
        </is>
      </c>
      <c r="D236" s="233" t="inlineStr">
        <is>
          <t>H222</t>
        </is>
      </c>
      <c r="E236" s="246">
        <f>(H221-H222)/H222</f>
        <v/>
      </c>
      <c r="F236" s="246">
        <f>IF(H222&lt;&gt;0,(H221-H222)/H222,"")</f>
        <v/>
      </c>
      <c r="G236" s="243">
        <f>IF(F236&lt;&gt;"",TEXT(F236,"+0.0%;-0.0%")&amp;" "&amp;IF(F236&gt;=0,"▲","▼"),"")</f>
        <v/>
      </c>
      <c r="H236" s="233">
        <f>IF(F236&lt;&gt;"",IF(F236&gt;=0,"▲","▼"),"")</f>
        <v/>
      </c>
    </row>
    <row r="237">
      <c r="B237" s="247" t="inlineStr">
        <is>
          <t>FX In</t>
        </is>
      </c>
      <c r="C237" s="248" t="inlineStr">
        <is>
          <t>I221</t>
        </is>
      </c>
      <c r="D237" s="238" t="inlineStr">
        <is>
          <t>I222</t>
        </is>
      </c>
      <c r="E237" s="250">
        <f>(I221-I222)/I222</f>
        <v/>
      </c>
      <c r="F237" s="250">
        <f>IF(I222&lt;&gt;0,(I221-I222)/I222,"")</f>
        <v/>
      </c>
      <c r="G237" s="247">
        <f>IF(F237&lt;&gt;"",TEXT(F237,"+0.0%;-0.0%")&amp;" "&amp;IF(F237&gt;=0,"▲","▼"),"")</f>
        <v/>
      </c>
      <c r="H237" s="238">
        <f>IF(F237&lt;&gt;"",IF(F237&gt;=0,"▲","▼"),"")</f>
        <v/>
      </c>
    </row>
    <row r="238">
      <c r="B238" s="243" t="inlineStr">
        <is>
          <t>Net Flow</t>
        </is>
      </c>
      <c r="C238" s="244" t="inlineStr">
        <is>
          <t>K221</t>
        </is>
      </c>
      <c r="D238" s="233" t="inlineStr">
        <is>
          <t>K222</t>
        </is>
      </c>
      <c r="E238" s="246">
        <f>(K221-K222)/K222</f>
        <v/>
      </c>
      <c r="F238" s="246">
        <f>IF(K222&lt;&gt;0,(K221-K222)/K222,"")</f>
        <v/>
      </c>
      <c r="G238" s="243">
        <f>IF(F238&lt;&gt;"",TEXT(F238,"+0.0%;-0.0%")&amp;" "&amp;IF(F238&gt;=0,"▲","▼"),"")</f>
        <v/>
      </c>
      <c r="H238" s="233">
        <f>IF(F238&lt;&gt;"",IF(F238&gt;=0,"▲","▼"),"")</f>
        <v/>
      </c>
    </row>
    <row r="241">
      <c r="B241" s="194" t="inlineStr">
        <is>
          <t>STEP 3c · CUMULATIVE RUNNING TOTALS — for trend charts</t>
        </is>
      </c>
      <c r="C241" s="107" t="n"/>
      <c r="D241" s="107" t="n"/>
      <c r="E241" s="107" t="n"/>
      <c r="F241" s="107" t="n"/>
      <c r="G241" s="107" t="n"/>
      <c r="H241" s="107" t="n"/>
      <c r="I241" s="107" t="n"/>
      <c r="J241" s="107" t="n"/>
      <c r="K241" s="108" t="n"/>
    </row>
    <row r="242">
      <c r="B242" s="232" t="inlineStr">
        <is>
          <t>Month</t>
        </is>
      </c>
      <c r="C242" s="232" t="inlineStr">
        <is>
          <t>Cum Card Spend</t>
        </is>
      </c>
      <c r="D242" s="232" t="inlineStr">
        <is>
          <t>Cum FX Out</t>
        </is>
      </c>
      <c r="E242" s="232" t="inlineStr">
        <is>
          <t>Cum FX In</t>
        </is>
      </c>
      <c r="F242" s="232" t="inlineStr">
        <is>
          <t>Cum PIX Net</t>
        </is>
      </c>
      <c r="G242" s="232" t="inlineStr">
        <is>
          <t>Cum Net Flow</t>
        </is>
      </c>
    </row>
    <row r="243">
      <c r="B243" s="233" t="inlineStr">
        <is>
          <t>2026-01</t>
        </is>
      </c>
      <c r="C243" s="234" t="n">
        <v>3745.4</v>
      </c>
      <c r="D243" s="234" t="n">
        <v>31949.9</v>
      </c>
      <c r="E243" s="236" t="n">
        <v>1071.22</v>
      </c>
      <c r="F243" s="236" t="n">
        <v>0</v>
      </c>
      <c r="G243" s="234" t="n">
        <v>-34624.08</v>
      </c>
    </row>
    <row r="244">
      <c r="B244" s="238" t="inlineStr">
        <is>
          <t>2026-02</t>
        </is>
      </c>
      <c r="C244" s="239" t="n">
        <v>13261.3</v>
      </c>
      <c r="D244" s="239" t="n">
        <v>63608.65</v>
      </c>
      <c r="E244" s="241" t="n">
        <v>1071.22</v>
      </c>
      <c r="F244" s="241" t="n">
        <v>0</v>
      </c>
      <c r="G244" s="239" t="n">
        <v>-75798.73000000001</v>
      </c>
    </row>
    <row r="245">
      <c r="B245" s="233" t="inlineStr">
        <is>
          <t>2026-03</t>
        </is>
      </c>
      <c r="C245" s="234" t="n">
        <v>27492.77</v>
      </c>
      <c r="D245" s="234" t="n">
        <v>111473.33</v>
      </c>
      <c r="E245" s="236" t="n">
        <v>1071.22</v>
      </c>
      <c r="F245" s="236" t="n">
        <v>0</v>
      </c>
      <c r="G245" s="234" t="n">
        <v>-137894.88</v>
      </c>
    </row>
    <row r="246">
      <c r="B246" s="238" t="inlineStr">
        <is>
          <t>2026-04</t>
        </is>
      </c>
      <c r="C246" s="239" t="n">
        <v>32823.21</v>
      </c>
      <c r="D246" s="239" t="n">
        <v>127351.41</v>
      </c>
      <c r="E246" s="241" t="n">
        <v>1574.84</v>
      </c>
      <c r="F246" s="241" t="n">
        <v>0</v>
      </c>
      <c r="G246" s="239" t="n">
        <v>-158599.78</v>
      </c>
    </row>
    <row r="247">
      <c r="B247" s="233" t="inlineStr">
        <is>
          <t>2026-05</t>
        </is>
      </c>
      <c r="C247" s="234" t="n">
        <v>36131.59</v>
      </c>
      <c r="D247" s="234" t="n">
        <v>323286.27</v>
      </c>
      <c r="E247" s="236" t="n">
        <v>204309.71</v>
      </c>
      <c r="F247" s="236" t="n">
        <v>0</v>
      </c>
      <c r="G247" s="234" t="n">
        <v>-155108.15</v>
      </c>
    </row>
    <row r="248">
      <c r="B248" s="238" t="inlineStr">
        <is>
          <t>2026-06</t>
        </is>
      </c>
      <c r="C248" s="239" t="n">
        <v>37245.75999999999</v>
      </c>
      <c r="D248" s="239" t="n">
        <v>652788.61</v>
      </c>
      <c r="E248" s="241" t="n">
        <v>472329.4</v>
      </c>
      <c r="F248" s="241" t="n">
        <v>0</v>
      </c>
      <c r="G248" s="239" t="n">
        <v>-217704.9699999999</v>
      </c>
    </row>
    <row r="250">
      <c r="B250" s="230" t="inlineStr">
        <is>
          <t>STEP 3 REFERENCE — Key cell addresses for charts and dashboard:</t>
        </is>
      </c>
    </row>
    <row r="251">
      <c r="B251" s="231" t="inlineStr">
        <is>
          <t>Monthly table data:   CALC!B221:K226  (newest first)</t>
        </is>
      </c>
    </row>
    <row r="252">
      <c r="B252" s="231" t="inlineStr">
        <is>
          <t>Most recent month:    CALC!B221  |  Card: CALC!C221</t>
        </is>
      </c>
    </row>
    <row r="253">
      <c r="B253" s="231" t="inlineStr">
        <is>
          <t>Previous month:       CALC!B222  |  Card: CALC!C222</t>
        </is>
      </c>
    </row>
    <row r="254">
      <c r="B254" s="231" t="inlineStr">
        <is>
          <t>Totals row:           CALC!B227:K227</t>
        </is>
      </c>
    </row>
    <row r="256">
      <c r="B256" s="230" t="inlineStr">
        <is>
          <t>MoM display cells (feed into dashboard text boxes):</t>
        </is>
      </c>
    </row>
    <row r="257">
      <c r="B257" s="231" t="inlineStr">
        <is>
          <t xml:space="preserve">  Card Spend            MoM% → CALC!F232  display → CALC!G232  arrow → CALC!H232</t>
        </is>
      </c>
    </row>
    <row r="258">
      <c r="B258" s="231" t="inlineStr">
        <is>
          <t xml:space="preserve">  PIX In                MoM% → CALC!F233  display → CALC!G233  arrow → CALC!H233</t>
        </is>
      </c>
    </row>
    <row r="259">
      <c r="B259" s="231" t="inlineStr">
        <is>
          <t xml:space="preserve">  PIX Out               MoM% → CALC!F234  display → CALC!G234  arrow → CALC!H234</t>
        </is>
      </c>
    </row>
    <row r="260">
      <c r="B260" s="231" t="inlineStr">
        <is>
          <t xml:space="preserve">  PIX Net               MoM% → CALC!F235  display → CALC!G235  arrow → CALC!H235</t>
        </is>
      </c>
    </row>
    <row r="261">
      <c r="B261" s="231" t="inlineStr">
        <is>
          <t xml:space="preserve">  FX Out                MoM% → CALC!F236  display → CALC!G236  arrow → CALC!H236</t>
        </is>
      </c>
    </row>
    <row r="262">
      <c r="B262" s="231" t="inlineStr">
        <is>
          <t xml:space="preserve">  FX In                 MoM% → CALC!F237  display → CALC!G237  arrow → CALC!H237</t>
        </is>
      </c>
    </row>
    <row r="263">
      <c r="B263" s="231" t="inlineStr">
        <is>
          <t xml:space="preserve">  Net Flow              MoM% → CALC!F238  display → CALC!G238  arrow → CALC!H238</t>
        </is>
      </c>
    </row>
    <row r="266" ht="16" customHeight="1">
      <c r="B266" s="194" t="inlineStr">
        <is>
          <t>STEP 3 (FIXED) · REVERSE-SORTED MONTHLY TABLE — all sources: MP Faturas + BCB Câmbio + Inter PIX</t>
        </is>
      </c>
      <c r="C266" s="107" t="n"/>
      <c r="D266" s="107" t="n"/>
      <c r="E266" s="107" t="n"/>
      <c r="F266" s="107" t="n"/>
      <c r="G266" s="107" t="n"/>
      <c r="H266" s="107" t="n"/>
      <c r="I266" s="107" t="n"/>
      <c r="J266" s="107" t="n"/>
      <c r="K266" s="108" t="n"/>
    </row>
    <row r="267">
      <c r="B267" s="251" t="inlineStr">
        <is>
          <t>Newest month = row 1 always. MoM = (row1 − row2) / row2. Add new month → append → formulas never change.</t>
        </is>
      </c>
      <c r="C267" s="107" t="n"/>
      <c r="D267" s="107" t="n"/>
      <c r="E267" s="107" t="n"/>
      <c r="F267" s="107" t="n"/>
      <c r="G267" s="107" t="n"/>
      <c r="H267" s="107" t="n"/>
      <c r="I267" s="107" t="n"/>
      <c r="J267" s="107" t="n"/>
      <c r="K267" s="108" t="n"/>
    </row>
    <row r="268">
      <c r="B268" s="232" t="inlineStr">
        <is>
          <t>Month</t>
        </is>
      </c>
      <c r="C268" s="232" t="inlineStr">
        <is>
          <t>Card Spend</t>
        </is>
      </c>
      <c r="D268" s="232" t="inlineStr">
        <is>
          <t>Card Txs</t>
        </is>
      </c>
      <c r="E268" s="232" t="inlineStr">
        <is>
          <t>PIX In</t>
        </is>
      </c>
      <c r="F268" s="232" t="inlineStr">
        <is>
          <t>PIX Out</t>
        </is>
      </c>
      <c r="G268" s="232" t="inlineStr">
        <is>
          <t>PIX Net</t>
        </is>
      </c>
      <c r="H268" s="232" t="inlineStr">
        <is>
          <t>Camb Out</t>
        </is>
      </c>
      <c r="I268" s="232" t="inlineStr">
        <is>
          <t>Camb In</t>
        </is>
      </c>
      <c r="J268" s="232" t="inlineStr">
        <is>
          <t>IOF</t>
        </is>
      </c>
      <c r="K268" s="232" t="inlineStr">
        <is>
          <t>Net Flow</t>
        </is>
      </c>
    </row>
    <row r="269">
      <c r="B269" s="233" t="inlineStr">
        <is>
          <t>2026-06</t>
        </is>
      </c>
      <c r="C269" s="234" t="n">
        <v>1114.17</v>
      </c>
      <c r="D269" s="235" t="n">
        <v>13</v>
      </c>
      <c r="E269" s="236" t="n">
        <v>42010</v>
      </c>
      <c r="F269" s="234" t="n">
        <v>480</v>
      </c>
      <c r="G269" s="236" t="n">
        <v>41530</v>
      </c>
      <c r="H269" s="234" t="n">
        <v>329502.34</v>
      </c>
      <c r="I269" s="236" t="n">
        <v>268019.69</v>
      </c>
      <c r="J269" s="237" t="n">
        <v>0</v>
      </c>
      <c r="K269" s="234" t="n">
        <v>-21066.81999999995</v>
      </c>
    </row>
    <row r="270">
      <c r="B270" s="238" t="inlineStr">
        <is>
          <t>2026-05</t>
        </is>
      </c>
      <c r="C270" s="239" t="n">
        <v>3308.38</v>
      </c>
      <c r="D270" s="240" t="n">
        <v>29</v>
      </c>
      <c r="E270" s="241" t="n">
        <v>115000</v>
      </c>
      <c r="F270" s="239" t="n">
        <v>69919.97</v>
      </c>
      <c r="G270" s="241" t="n">
        <v>45080.03</v>
      </c>
      <c r="H270" s="239" t="n">
        <v>295215.1</v>
      </c>
      <c r="I270" s="241" t="n">
        <v>202734.87</v>
      </c>
      <c r="J270" s="242" t="n">
        <v>3474.8</v>
      </c>
      <c r="K270" s="239" t="n">
        <v>-54183.38000000005</v>
      </c>
    </row>
    <row r="271">
      <c r="B271" s="233" t="inlineStr">
        <is>
          <t>2026-04</t>
        </is>
      </c>
      <c r="C271" s="234" t="n">
        <v>5330.44</v>
      </c>
      <c r="D271" s="235" t="n">
        <v>33</v>
      </c>
      <c r="E271" s="236" t="n">
        <v>40000</v>
      </c>
      <c r="F271" s="234" t="n">
        <v>10330</v>
      </c>
      <c r="G271" s="236" t="n">
        <v>29670</v>
      </c>
      <c r="H271" s="234" t="n">
        <v>15878.08</v>
      </c>
      <c r="I271" s="236" t="n">
        <v>503.62</v>
      </c>
      <c r="J271" s="237" t="n">
        <v>0</v>
      </c>
      <c r="K271" s="236" t="n">
        <v>8965.1</v>
      </c>
    </row>
    <row r="272">
      <c r="B272" s="238" t="inlineStr">
        <is>
          <t>2026-03</t>
        </is>
      </c>
      <c r="C272" s="239" t="n">
        <v>14231.47</v>
      </c>
      <c r="D272" s="240" t="n">
        <v>32</v>
      </c>
      <c r="E272" s="241" t="n">
        <v>0</v>
      </c>
      <c r="F272" s="239" t="n">
        <v>11432.41</v>
      </c>
      <c r="G272" s="239" t="n">
        <v>-11432.41</v>
      </c>
      <c r="H272" s="239" t="n">
        <v>47864.68</v>
      </c>
      <c r="I272" s="241" t="n">
        <v>0</v>
      </c>
      <c r="J272" s="242" t="n">
        <v>0</v>
      </c>
      <c r="K272" s="239" t="n">
        <v>-73528.56</v>
      </c>
    </row>
    <row r="273">
      <c r="B273" s="233" t="inlineStr">
        <is>
          <t>2026-02</t>
        </is>
      </c>
      <c r="C273" s="234" t="n">
        <v>9515.9</v>
      </c>
      <c r="D273" s="235" t="n">
        <v>21</v>
      </c>
      <c r="E273" s="236" t="n">
        <v>40000</v>
      </c>
      <c r="F273" s="234" t="n">
        <v>0</v>
      </c>
      <c r="G273" s="236" t="n">
        <v>40000</v>
      </c>
      <c r="H273" s="234" t="n">
        <v>31658.75</v>
      </c>
      <c r="I273" s="236" t="n">
        <v>0</v>
      </c>
      <c r="J273" s="237" t="n">
        <v>0</v>
      </c>
      <c r="K273" s="234" t="n">
        <v>-1174.650000000001</v>
      </c>
    </row>
    <row r="274">
      <c r="B274" s="238" t="inlineStr">
        <is>
          <t>2026-01</t>
        </is>
      </c>
      <c r="C274" s="239" t="n">
        <v>3745.4</v>
      </c>
      <c r="D274" s="240" t="n">
        <v>18</v>
      </c>
      <c r="E274" s="241" t="n">
        <v>0</v>
      </c>
      <c r="F274" s="239" t="n">
        <v>0</v>
      </c>
      <c r="G274" s="241" t="n">
        <v>0</v>
      </c>
      <c r="H274" s="239" t="n">
        <v>31949.9</v>
      </c>
      <c r="I274" s="241" t="n">
        <v>1071.22</v>
      </c>
      <c r="J274" s="242" t="n">
        <v>0</v>
      </c>
      <c r="K274" s="239" t="n">
        <v>-34624.08</v>
      </c>
    </row>
    <row r="275">
      <c r="B275" s="120" t="inlineStr">
        <is>
          <t>TOTAL H1 2026</t>
        </is>
      </c>
      <c r="C275" s="121">
        <f>SUM(C269:C274)</f>
        <v/>
      </c>
      <c r="D275" s="157">
        <f>SUM(D269:D274)</f>
        <v/>
      </c>
      <c r="E275" s="121">
        <f>SUM(E269:E274)</f>
        <v/>
      </c>
      <c r="F275" s="121">
        <f>SUM(F269:F274)</f>
        <v/>
      </c>
      <c r="G275" s="121">
        <f>SUM(G269:G274)</f>
        <v/>
      </c>
      <c r="H275" s="121">
        <f>SUM(H269:H274)</f>
        <v/>
      </c>
      <c r="I275" s="121">
        <f>SUM(I269:I274)</f>
        <v/>
      </c>
      <c r="J275" s="121">
        <f>SUM(J269:J274)</f>
        <v/>
      </c>
      <c r="K275" s="121">
        <f>SUM(K269:K274)</f>
        <v/>
      </c>
    </row>
    <row r="277" ht="16" customHeight="1">
      <c r="B277" s="194" t="inlineStr">
        <is>
          <t>STEP 3b · MoM CHANGE FORMULAS — row offsets, never need updating</t>
        </is>
      </c>
      <c r="C277" s="107" t="n"/>
      <c r="D277" s="107" t="n"/>
      <c r="E277" s="107" t="n"/>
      <c r="F277" s="107" t="n"/>
      <c r="G277" s="107" t="n"/>
      <c r="H277" s="107" t="n"/>
      <c r="I277" s="107" t="n"/>
      <c r="J277" s="107" t="n"/>
      <c r="K277" s="108" t="n"/>
    </row>
    <row r="278">
      <c r="B278" s="232" t="inlineStr">
        <is>
          <t>Metric</t>
        </is>
      </c>
      <c r="C278" s="232" t="inlineStr">
        <is>
          <t>This Month</t>
        </is>
      </c>
      <c r="D278" s="232" t="inlineStr">
        <is>
          <t>Prev Month</t>
        </is>
      </c>
      <c r="E278" s="232" t="inlineStr">
        <is>
          <t>MoM% Raw</t>
        </is>
      </c>
      <c r="F278" s="232" t="inlineStr">
        <is>
          <t>TEXT Display</t>
        </is>
      </c>
      <c r="G278" s="232" t="inlineStr">
        <is>
          <t>Arrow</t>
        </is>
      </c>
    </row>
    <row r="279">
      <c r="B279" s="243" t="inlineStr">
        <is>
          <t>Card Spend</t>
        </is>
      </c>
      <c r="C279" s="136">
        <f>C269</f>
        <v/>
      </c>
      <c r="D279" s="219">
        <f>C270</f>
        <v/>
      </c>
      <c r="F279" s="246">
        <f>IF(C270&lt;&gt;0,(C269-C270)/C270,"")</f>
        <v/>
      </c>
      <c r="G279" s="243">
        <f>IF(F279&lt;&gt;"",TEXT(F279,"+0.0%;-0.0%")&amp;" "&amp;IF(F279&gt;=0,"▲","▼"),"")</f>
        <v/>
      </c>
      <c r="H279" s="233">
        <f>IF(F279&lt;&gt;"",IF(F279&gt;=0,"▲","▼"),"")</f>
        <v/>
      </c>
    </row>
    <row r="280">
      <c r="B280" s="247" t="inlineStr">
        <is>
          <t>PIX In</t>
        </is>
      </c>
      <c r="C280" s="133">
        <f>E269</f>
        <v/>
      </c>
      <c r="D280" s="222">
        <f>E270</f>
        <v/>
      </c>
      <c r="F280" s="250">
        <f>IF(E270&lt;&gt;0,(E269-E270)/E270,"")</f>
        <v/>
      </c>
      <c r="G280" s="247">
        <f>IF(F280&lt;&gt;"",TEXT(F280,"+0.0%;-0.0%")&amp;" "&amp;IF(F280&gt;=0,"▲","▼"),"")</f>
        <v/>
      </c>
      <c r="H280" s="238">
        <f>IF(F280&lt;&gt;"",IF(F280&gt;=0,"▲","▼"),"")</f>
        <v/>
      </c>
    </row>
    <row r="281">
      <c r="B281" s="243" t="inlineStr">
        <is>
          <t>PIX Out</t>
        </is>
      </c>
      <c r="C281" s="136">
        <f>F269</f>
        <v/>
      </c>
      <c r="D281" s="219">
        <f>F270</f>
        <v/>
      </c>
      <c r="F281" s="246">
        <f>IF(F270&lt;&gt;0,(F269-F270)/F270,"")</f>
        <v/>
      </c>
      <c r="G281" s="243">
        <f>IF(F281&lt;&gt;"",TEXT(F281,"+0.0%;-0.0%")&amp;" "&amp;IF(F281&gt;=0,"▲","▼"),"")</f>
        <v/>
      </c>
      <c r="H281" s="233">
        <f>IF(F281&lt;&gt;"",IF(F281&gt;=0,"▲","▼"),"")</f>
        <v/>
      </c>
    </row>
    <row r="282">
      <c r="B282" s="247" t="inlineStr">
        <is>
          <t>PIX Net</t>
        </is>
      </c>
      <c r="C282" s="133">
        <f>G269</f>
        <v/>
      </c>
      <c r="D282" s="222">
        <f>G270</f>
        <v/>
      </c>
      <c r="F282" s="250">
        <f>IF(G270&lt;&gt;0,(G269-G270)/G270,"")</f>
        <v/>
      </c>
      <c r="G282" s="247">
        <f>IF(F282&lt;&gt;"",TEXT(F282,"+0.0%;-0.0%")&amp;" "&amp;IF(F282&gt;=0,"▲","▼"),"")</f>
        <v/>
      </c>
      <c r="H282" s="238">
        <f>IF(F282&lt;&gt;"",IF(F282&gt;=0,"▲","▼"),"")</f>
        <v/>
      </c>
    </row>
    <row r="283">
      <c r="B283" s="243" t="inlineStr">
        <is>
          <t>Camb Out</t>
        </is>
      </c>
      <c r="C283" s="136">
        <f>H269</f>
        <v/>
      </c>
      <c r="D283" s="219">
        <f>H270</f>
        <v/>
      </c>
      <c r="F283" s="246">
        <f>IF(H270&lt;&gt;0,(H269-H270)/H270,"")</f>
        <v/>
      </c>
      <c r="G283" s="243">
        <f>IF(F283&lt;&gt;"",TEXT(F283,"+0.0%;-0.0%")&amp;" "&amp;IF(F283&gt;=0,"▲","▼"),"")</f>
        <v/>
      </c>
      <c r="H283" s="233">
        <f>IF(F283&lt;&gt;"",IF(F283&gt;=0,"▲","▼"),"")</f>
        <v/>
      </c>
    </row>
    <row r="284">
      <c r="B284" s="247" t="inlineStr">
        <is>
          <t>Camb In</t>
        </is>
      </c>
      <c r="C284" s="133">
        <f>I269</f>
        <v/>
      </c>
      <c r="D284" s="222">
        <f>I270</f>
        <v/>
      </c>
      <c r="F284" s="250">
        <f>IF(I270&lt;&gt;0,(I269-I270)/I270,"")</f>
        <v/>
      </c>
      <c r="G284" s="247">
        <f>IF(F284&lt;&gt;"",TEXT(F284,"+0.0%;-0.0%")&amp;" "&amp;IF(F284&gt;=0,"▲","▼"),"")</f>
        <v/>
      </c>
      <c r="H284" s="238">
        <f>IF(F284&lt;&gt;"",IF(F284&gt;=0,"▲","▼"),"")</f>
        <v/>
      </c>
    </row>
    <row r="285">
      <c r="B285" s="243" t="inlineStr">
        <is>
          <t>Net Flow</t>
        </is>
      </c>
      <c r="C285" s="136">
        <f>K269</f>
        <v/>
      </c>
      <c r="D285" s="219">
        <f>K270</f>
        <v/>
      </c>
      <c r="F285" s="246">
        <f>IF(K270&lt;&gt;0,(K269-K270)/K270,"")</f>
        <v/>
      </c>
      <c r="G285" s="243">
        <f>IF(F285&lt;&gt;"",TEXT(F285,"+0.0%;-0.0%")&amp;" "&amp;IF(F285&gt;=0,"▲","▼"),"")</f>
        <v/>
      </c>
      <c r="H285" s="233">
        <f>IF(F285&lt;&gt;"",IF(F285&gt;=0,"▲","▼"),"")</f>
        <v/>
      </c>
    </row>
    <row r="287" ht="16" customHeight="1">
      <c r="B287" s="194" t="inlineStr">
        <is>
          <t>STEP 3 REFERENCE ADDRESSES</t>
        </is>
      </c>
      <c r="C287" s="107" t="n"/>
      <c r="D287" s="107" t="n"/>
      <c r="E287" s="107" t="n"/>
      <c r="F287" s="107" t="n"/>
      <c r="G287" s="107" t="n"/>
      <c r="H287" s="107" t="n"/>
      <c r="I287" s="107" t="n"/>
      <c r="J287" s="107" t="n"/>
      <c r="K287" s="108" t="n"/>
    </row>
    <row r="288">
      <c r="B288" s="231" t="inlineStr">
        <is>
          <t>Monthly table (newest first): B269:K274</t>
        </is>
      </c>
    </row>
    <row r="289">
      <c r="B289" s="231" t="inlineStr">
        <is>
          <t>Most recent month:  B269   Card: C269   PIX In: E269</t>
        </is>
      </c>
    </row>
    <row r="290">
      <c r="B290" s="231" t="inlineStr">
        <is>
          <t>Previous month:     B270   Card: C270   PIX In: E270</t>
        </is>
      </c>
    </row>
    <row r="291">
      <c r="B291" s="231" t="inlineStr">
        <is>
          <t>Totals row:         B275:K275</t>
        </is>
      </c>
    </row>
    <row r="292">
      <c r="B292" s="230" t="inlineStr"/>
    </row>
    <row r="293">
      <c r="B293" s="230" t="inlineStr">
        <is>
          <t>MoM display cells (→ paste into dashboard text boxes):</t>
        </is>
      </c>
    </row>
    <row r="294">
      <c r="B294" s="231" t="inlineStr">
        <is>
          <t xml:space="preserve">  Card Spend      → display: CALC!G279  arrow: CALC!H279</t>
        </is>
      </c>
    </row>
    <row r="295">
      <c r="B295" s="231" t="inlineStr">
        <is>
          <t xml:space="preserve">  PIX In          → display: CALC!G280  arrow: CALC!H280</t>
        </is>
      </c>
    </row>
    <row r="296">
      <c r="B296" s="231" t="inlineStr">
        <is>
          <t xml:space="preserve">  PIX Out         → display: CALC!G281  arrow: CALC!H281</t>
        </is>
      </c>
    </row>
    <row r="297">
      <c r="B297" s="231" t="inlineStr">
        <is>
          <t xml:space="preserve">  PIX Net         → display: CALC!G282  arrow: CALC!H282</t>
        </is>
      </c>
    </row>
    <row r="298">
      <c r="B298" s="231" t="inlineStr">
        <is>
          <t xml:space="preserve">  Camb Out        → display: CALC!G283  arrow: CALC!H283</t>
        </is>
      </c>
    </row>
    <row r="299">
      <c r="B299" s="231" t="inlineStr">
        <is>
          <t xml:space="preserve">  Camb In         → display: CALC!G284  arrow: CALC!H284</t>
        </is>
      </c>
    </row>
    <row r="300">
      <c r="B300" s="231" t="inlineStr">
        <is>
          <t xml:space="preserve">  Net Flow        → display: CALC!G285  arrow: CALC!H285</t>
        </is>
      </c>
    </row>
    <row r="303" ht="16" customHeight="1">
      <c r="B303" s="194" t="inlineStr">
        <is>
          <t>STEP 4 · SLICER HARVESTING TABLES — dynamic filter detection for dashboard interactivity</t>
        </is>
      </c>
      <c r="C303" s="107" t="n"/>
      <c r="D303" s="107" t="n"/>
      <c r="E303" s="107" t="n"/>
      <c r="F303" s="107" t="n"/>
      <c r="G303" s="107" t="n"/>
      <c r="H303" s="107" t="n"/>
      <c r="I303" s="107" t="n"/>
      <c r="J303" s="107" t="n"/>
      <c r="K303" s="108" t="n"/>
    </row>
    <row r="304">
      <c r="B304" s="252" t="inlineStr">
        <is>
          <t>Pattern: each filter option listed with its aggregate value. Dashboard data-validation dropdowns point to these lists. CHOOSE(COUNTA(selected_range), name, 'Multiple', 'All') → filter label.</t>
        </is>
      </c>
    </row>
    <row r="306" ht="16" customHeight="1">
      <c r="B306" s="194" t="inlineStr">
        <is>
          <t>4A · CATEGORY FILTER — 10 MP Fatura categories</t>
        </is>
      </c>
      <c r="C306" s="107" t="n"/>
      <c r="D306" s="107" t="n"/>
      <c r="E306" s="107" t="n"/>
      <c r="F306" s="107" t="n"/>
      <c r="G306" s="107" t="n"/>
      <c r="H306" s="107" t="n"/>
      <c r="I306" s="107" t="n"/>
      <c r="J306" s="108" t="n"/>
    </row>
    <row r="307">
      <c r="B307" s="232" t="inlineStr">
        <is>
          <t>Category</t>
        </is>
      </c>
      <c r="C307" s="232" t="inlineStr">
        <is>
          <t>Total Spend</t>
        </is>
      </c>
      <c r="D307" s="232" t="inlineStr">
        <is>
          <t>% of Total</t>
        </is>
      </c>
      <c r="E307" s="232" t="inlineStr">
        <is>
          <t>Txs</t>
        </is>
      </c>
      <c r="F307" s="232" t="inlineStr">
        <is>
          <t>Avg/Tx</t>
        </is>
      </c>
      <c r="G307" s="232" t="inlineStr">
        <is>
          <t>Avg/Month</t>
        </is>
      </c>
      <c r="H307" s="232" t="inlineStr">
        <is>
          <t>Classification</t>
        </is>
      </c>
    </row>
    <row r="308">
      <c r="B308" s="243" t="inlineStr">
        <is>
          <t>Viagem</t>
        </is>
      </c>
      <c r="C308" s="237" t="n">
        <v>9036.83</v>
      </c>
      <c r="D308" s="253" t="n">
        <v>0.242627080236784</v>
      </c>
      <c r="E308" s="235" t="n">
        <v>1</v>
      </c>
      <c r="F308" s="219" t="n">
        <v>9036.83</v>
      </c>
      <c r="G308" s="219" t="n">
        <v>1506.138333333333</v>
      </c>
      <c r="H308" s="198" t="inlineStr">
        <is>
          <t>💡 Discretionary</t>
        </is>
      </c>
    </row>
    <row r="309">
      <c r="B309" s="247" t="inlineStr">
        <is>
          <t>Compras/ML</t>
        </is>
      </c>
      <c r="C309" s="242" t="n">
        <v>8744.679999999998</v>
      </c>
      <c r="D309" s="254" t="n">
        <v>0.2347832343869476</v>
      </c>
      <c r="E309" s="240" t="n">
        <v>9</v>
      </c>
      <c r="F309" s="222" t="n">
        <v>971.631111111111</v>
      </c>
      <c r="G309" s="222" t="n">
        <v>1457.446666666666</v>
      </c>
      <c r="H309" s="201" t="inlineStr">
        <is>
          <t>💡 Discretionary</t>
        </is>
      </c>
    </row>
    <row r="310">
      <c r="B310" s="243" t="inlineStr">
        <is>
          <t>IA/Tecnologia</t>
        </is>
      </c>
      <c r="C310" s="234" t="n">
        <v>6624.360000000001</v>
      </c>
      <c r="D310" s="165" t="n">
        <v>0.1778554122670608</v>
      </c>
      <c r="E310" s="235" t="n">
        <v>37</v>
      </c>
      <c r="F310" s="219" t="n">
        <v>179.0367567567568</v>
      </c>
      <c r="G310" s="219" t="n">
        <v>1104.06</v>
      </c>
      <c r="H310" s="209" t="inlineStr">
        <is>
          <t>⚠ Review</t>
        </is>
      </c>
    </row>
    <row r="311">
      <c r="B311" s="247" t="inlineStr">
        <is>
          <t>Loteria</t>
        </is>
      </c>
      <c r="C311" s="239" t="n">
        <v>6455.1</v>
      </c>
      <c r="D311" s="166" t="n">
        <v>0.1733110023798682</v>
      </c>
      <c r="E311" s="240" t="n">
        <v>39</v>
      </c>
      <c r="F311" s="222" t="n">
        <v>165.5153846153846</v>
      </c>
      <c r="G311" s="222" t="n">
        <v>1075.85</v>
      </c>
      <c r="H311" s="213" t="inlineStr">
        <is>
          <t>⚠ Review</t>
        </is>
      </c>
    </row>
    <row r="312">
      <c r="B312" s="243" t="inlineStr">
        <is>
          <t>Outros</t>
        </is>
      </c>
      <c r="C312" s="219" t="n">
        <v>2235.58</v>
      </c>
      <c r="D312" s="163" t="n">
        <v>0.06002240254998152</v>
      </c>
      <c r="E312" s="235" t="n">
        <v>9</v>
      </c>
      <c r="F312" s="219" t="n">
        <v>248.3977777777778</v>
      </c>
      <c r="G312" s="219" t="n">
        <v>372.5966666666666</v>
      </c>
      <c r="H312" s="243" t="inlineStr">
        <is>
          <t>❓ Unknown</t>
        </is>
      </c>
    </row>
    <row r="313">
      <c r="B313" s="247" t="inlineStr">
        <is>
          <t>Internet</t>
        </is>
      </c>
      <c r="C313" s="241" t="n">
        <v>1413.12</v>
      </c>
      <c r="D313" s="168" t="n">
        <v>0.03794042597063398</v>
      </c>
      <c r="E313" s="240" t="n">
        <v>6</v>
      </c>
      <c r="F313" s="222" t="n">
        <v>235.52</v>
      </c>
      <c r="G313" s="222" t="n">
        <v>235.52</v>
      </c>
      <c r="H313" s="207" t="inlineStr">
        <is>
          <t>✅ Essential</t>
        </is>
      </c>
    </row>
    <row r="314">
      <c r="B314" s="243" t="inlineStr">
        <is>
          <t>Assinatura</t>
        </is>
      </c>
      <c r="C314" s="237" t="n">
        <v>1227.5</v>
      </c>
      <c r="D314" s="253" t="n">
        <v>0.03295677145532807</v>
      </c>
      <c r="E314" s="235" t="n">
        <v>19</v>
      </c>
      <c r="F314" s="219" t="n">
        <v>64.60526315789474</v>
      </c>
      <c r="G314" s="219" t="n">
        <v>204.5833333333333</v>
      </c>
      <c r="H314" s="198" t="inlineStr">
        <is>
          <t>💡 Discretionary</t>
        </is>
      </c>
    </row>
    <row r="315">
      <c r="B315" s="247" t="inlineStr">
        <is>
          <t>Delivery/iFood</t>
        </is>
      </c>
      <c r="C315" s="241" t="n">
        <v>1217.92</v>
      </c>
      <c r="D315" s="168" t="n">
        <v>0.03269956097016143</v>
      </c>
      <c r="E315" s="240" t="n">
        <v>14</v>
      </c>
      <c r="F315" s="222" t="n">
        <v>86.99428571428572</v>
      </c>
      <c r="G315" s="222" t="n">
        <v>202.9866666666667</v>
      </c>
      <c r="H315" s="207" t="inlineStr">
        <is>
          <t>✅ Essential</t>
        </is>
      </c>
    </row>
    <row r="316">
      <c r="B316" s="243" t="inlineStr">
        <is>
          <t>Transporte</t>
        </is>
      </c>
      <c r="C316" s="237" t="n">
        <v>205.34</v>
      </c>
      <c r="D316" s="253" t="n">
        <v>0.005513110754083149</v>
      </c>
      <c r="E316" s="235" t="n">
        <v>10</v>
      </c>
      <c r="F316" s="219" t="n">
        <v>20.534</v>
      </c>
      <c r="G316" s="219" t="n">
        <v>34.22333333333334</v>
      </c>
      <c r="H316" s="198" t="inlineStr">
        <is>
          <t>💡 Discretionary</t>
        </is>
      </c>
    </row>
    <row r="317">
      <c r="B317" s="247" t="inlineStr">
        <is>
          <t>Telecomunicações</t>
        </is>
      </c>
      <c r="C317" s="241" t="n">
        <v>74.43000000000001</v>
      </c>
      <c r="D317" s="168" t="n">
        <v>0.001998348268366654</v>
      </c>
      <c r="E317" s="240" t="n">
        <v>1</v>
      </c>
      <c r="F317" s="222" t="n">
        <v>74.43000000000001</v>
      </c>
      <c r="G317" s="222" t="n">
        <v>12.405</v>
      </c>
      <c r="H317" s="207" t="inlineStr">
        <is>
          <t>✅ Essential</t>
        </is>
      </c>
    </row>
    <row r="318">
      <c r="B318" s="243" t="inlineStr">
        <is>
          <t>Digital</t>
        </is>
      </c>
      <c r="C318" s="237" t="n">
        <v>10.9</v>
      </c>
      <c r="D318" s="253" t="n">
        <v>0.0002926507607845833</v>
      </c>
      <c r="E318" s="235" t="n">
        <v>1</v>
      </c>
      <c r="F318" s="219" t="n">
        <v>10.9</v>
      </c>
      <c r="G318" s="219" t="n">
        <v>1.816666666666667</v>
      </c>
      <c r="H318" s="198" t="inlineStr">
        <is>
          <t>💡 Discretionary</t>
        </is>
      </c>
    </row>
    <row r="320">
      <c r="B320" s="255">
        <f>CHOOSE(COUNTA(C308:C318), "«selected category»", "Multiple", "All")</f>
        <v/>
      </c>
      <c r="C320" s="107" t="n"/>
      <c r="D320" s="107" t="n"/>
      <c r="E320" s="107" t="n"/>
      <c r="F320" s="107" t="n"/>
      <c r="G320" s="107" t="n"/>
      <c r="H320" s="107" t="n"/>
      <c r="I320" s="108" t="n"/>
    </row>
    <row r="322" ht="16" customHeight="1">
      <c r="B322" s="194" t="inlineStr">
        <is>
          <t>4B · INSTITUTION FILTER — FX operations by institution</t>
        </is>
      </c>
      <c r="C322" s="107" t="n"/>
      <c r="D322" s="107" t="n"/>
      <c r="E322" s="107" t="n"/>
      <c r="F322" s="107" t="n"/>
      <c r="G322" s="107" t="n"/>
      <c r="H322" s="107" t="n"/>
      <c r="I322" s="107" t="n"/>
      <c r="J322" s="108" t="n"/>
    </row>
    <row r="323">
      <c r="B323" s="232" t="inlineStr">
        <is>
          <t>Institution</t>
        </is>
      </c>
      <c r="C323" s="232" t="inlineStr">
        <is>
          <t>Ops Count</t>
        </is>
      </c>
      <c r="D323" s="232" t="inlineStr">
        <is>
          <t>BRL Outbound</t>
        </is>
      </c>
      <c r="E323" s="232" t="inlineStr">
        <is>
          <t>BRL Inbound</t>
        </is>
      </c>
      <c r="F323" s="232" t="inlineStr">
        <is>
          <t>Net BRL</t>
        </is>
      </c>
      <c r="G323" s="232" t="inlineStr">
        <is>
          <t>Primary Role</t>
        </is>
      </c>
    </row>
    <row r="324">
      <c r="B324" s="243" t="inlineStr">
        <is>
          <t>BB Brasil</t>
        </is>
      </c>
      <c r="C324" s="235" t="n">
        <v>15</v>
      </c>
      <c r="D324" s="234" t="n">
        <v>464305.63</v>
      </c>
      <c r="E324" s="236" t="n">
        <v>73857</v>
      </c>
      <c r="F324" s="234" t="n">
        <v>-390448.63</v>
      </c>
      <c r="G324" s="211" t="inlineStr">
        <is>
          <t>FX Self-transfer</t>
        </is>
      </c>
    </row>
    <row r="325">
      <c r="B325" s="247" t="inlineStr">
        <is>
          <t>Banco Topázio</t>
        </is>
      </c>
      <c r="C325" s="240" t="n">
        <v>8</v>
      </c>
      <c r="D325" s="239" t="n">
        <v>0</v>
      </c>
      <c r="E325" s="241" t="n">
        <v>315879.73</v>
      </c>
      <c r="F325" s="241" t="n">
        <v>315879.73</v>
      </c>
      <c r="G325" s="256" t="inlineStr">
        <is>
          <t>IB + Fund deposits</t>
        </is>
      </c>
    </row>
    <row r="326">
      <c r="B326" s="243" t="inlineStr">
        <is>
          <t>Wise Brasil</t>
        </is>
      </c>
      <c r="C326" s="235" t="n">
        <v>6</v>
      </c>
      <c r="D326" s="234" t="n">
        <v>89202.73999999999</v>
      </c>
      <c r="E326" s="236" t="n">
        <v>57592.67</v>
      </c>
      <c r="F326" s="234" t="n">
        <v>-31610.06999999999</v>
      </c>
      <c r="G326" s="211" t="inlineStr">
        <is>
          <t>IB + UK transfers</t>
        </is>
      </c>
    </row>
    <row r="327">
      <c r="B327" s="247" t="inlineStr">
        <is>
          <t>Banco Inter</t>
        </is>
      </c>
      <c r="C327" s="240" t="n">
        <v>2</v>
      </c>
      <c r="D327" s="239" t="n">
        <v>99280.23999999999</v>
      </c>
      <c r="E327" s="241" t="n">
        <v>0</v>
      </c>
      <c r="F327" s="239" t="n">
        <v>-99280.23999999999</v>
      </c>
      <c r="G327" s="256" t="inlineStr">
        <is>
          <t>FX + PIX Hub</t>
        </is>
      </c>
    </row>
    <row r="328">
      <c r="B328" s="243" t="inlineStr">
        <is>
          <t>Ouribank</t>
        </is>
      </c>
      <c r="C328" s="235" t="n">
        <v>1</v>
      </c>
      <c r="D328" s="234" t="n">
        <v>0</v>
      </c>
      <c r="E328" s="236" t="n">
        <v>25000</v>
      </c>
      <c r="F328" s="236" t="n">
        <v>25000</v>
      </c>
      <c r="G328" s="211" t="inlineStr">
        <is>
          <t>Inbound payments</t>
        </is>
      </c>
    </row>
    <row r="329">
      <c r="B329" s="247" t="inlineStr">
        <is>
          <t>Daycoval</t>
        </is>
      </c>
      <c r="C329" s="240" t="n">
        <v>3</v>
      </c>
      <c r="D329" s="239" t="n">
        <v>0</v>
      </c>
      <c r="E329" s="241" t="n">
        <v>0</v>
      </c>
      <c r="F329" s="241" t="n">
        <v>0</v>
      </c>
      <c r="G329" s="256" t="inlineStr">
        <is>
          <t>Travel FX 2024</t>
        </is>
      </c>
    </row>
    <row r="332" ht="16" customHeight="1">
      <c r="B332" s="194" t="inlineStr">
        <is>
          <t>4C · PERIOD FILTER — Month selector for dashboard</t>
        </is>
      </c>
      <c r="C332" s="107" t="n"/>
      <c r="D332" s="107" t="n"/>
      <c r="E332" s="107" t="n"/>
      <c r="F332" s="107" t="n"/>
      <c r="G332" s="107" t="n"/>
      <c r="H332" s="107" t="n"/>
      <c r="I332" s="107" t="n"/>
      <c r="J332" s="108" t="n"/>
    </row>
    <row r="333">
      <c r="B333" s="232" t="inlineStr">
        <is>
          <t>Month</t>
        </is>
      </c>
      <c r="C333" s="232" t="inlineStr">
        <is>
          <t>Card Spend</t>
        </is>
      </c>
      <c r="D333" s="232" t="inlineStr">
        <is>
          <t>Card Txs</t>
        </is>
      </c>
      <c r="E333" s="232" t="inlineStr">
        <is>
          <t>% of H1</t>
        </is>
      </c>
      <c r="F333" s="232" t="inlineStr">
        <is>
          <t>Cumulative</t>
        </is>
      </c>
      <c r="G333" s="232" t="inlineStr">
        <is>
          <t>Label</t>
        </is>
      </c>
    </row>
    <row r="334">
      <c r="B334" s="233" t="inlineStr">
        <is>
          <t>2026-01</t>
        </is>
      </c>
      <c r="C334" s="219" t="n">
        <v>3745.4</v>
      </c>
      <c r="D334" s="235" t="n">
        <v>18</v>
      </c>
      <c r="E334" s="163" t="n">
        <v>0.1005590971965668</v>
      </c>
      <c r="F334" s="219" t="n">
        <v>3745.4</v>
      </c>
      <c r="G334" s="198" t="inlineStr">
        <is>
          <t>January 2026</t>
        </is>
      </c>
    </row>
    <row r="335">
      <c r="B335" s="238" t="inlineStr">
        <is>
          <t>2026-02</t>
        </is>
      </c>
      <c r="C335" s="222" t="n">
        <v>9515.9</v>
      </c>
      <c r="D335" s="240" t="n">
        <v>21</v>
      </c>
      <c r="E335" s="164" t="n">
        <v>0.2554894839036712</v>
      </c>
      <c r="F335" s="222" t="n">
        <v>13261.3</v>
      </c>
      <c r="G335" s="201" t="inlineStr">
        <is>
          <t>February 2026</t>
        </is>
      </c>
    </row>
    <row r="336">
      <c r="B336" s="233" t="inlineStr">
        <is>
          <t>2026-03</t>
        </is>
      </c>
      <c r="C336" s="219" t="n">
        <v>14231.47</v>
      </c>
      <c r="D336" s="235" t="n">
        <v>32</v>
      </c>
      <c r="E336" s="163" t="n">
        <v>0.3820963782186214</v>
      </c>
      <c r="F336" s="219" t="n">
        <v>27492.77</v>
      </c>
      <c r="G336" s="198" t="inlineStr">
        <is>
          <t>March 2026</t>
        </is>
      </c>
    </row>
    <row r="337">
      <c r="B337" s="238" t="inlineStr">
        <is>
          <t>2026-04</t>
        </is>
      </c>
      <c r="C337" s="222" t="n">
        <v>5330.44</v>
      </c>
      <c r="D337" s="240" t="n">
        <v>33</v>
      </c>
      <c r="E337" s="164" t="n">
        <v>0.1431153505795022</v>
      </c>
      <c r="F337" s="222" t="n">
        <v>32823.21</v>
      </c>
      <c r="G337" s="201" t="inlineStr">
        <is>
          <t>April 2026</t>
        </is>
      </c>
    </row>
    <row r="338">
      <c r="B338" s="233" t="inlineStr">
        <is>
          <t>2026-05</t>
        </is>
      </c>
      <c r="C338" s="219" t="n">
        <v>3308.38</v>
      </c>
      <c r="D338" s="235" t="n">
        <v>29</v>
      </c>
      <c r="E338" s="163" t="n">
        <v>0.08882568109766051</v>
      </c>
      <c r="F338" s="219" t="n">
        <v>36131.59</v>
      </c>
      <c r="G338" s="198" t="inlineStr">
        <is>
          <t>May 2026</t>
        </is>
      </c>
    </row>
    <row r="339">
      <c r="B339" s="238" t="inlineStr">
        <is>
          <t>2026-06</t>
        </is>
      </c>
      <c r="C339" s="222" t="n">
        <v>1114.17</v>
      </c>
      <c r="D339" s="240" t="n">
        <v>13</v>
      </c>
      <c r="E339" s="164" t="n">
        <v>0.0299140090039779</v>
      </c>
      <c r="F339" s="222" t="n">
        <v>37245.75999999999</v>
      </c>
      <c r="G339" s="201" t="inlineStr">
        <is>
          <t>June 2026</t>
        </is>
      </c>
    </row>
    <row r="342" ht="16" customHeight="1">
      <c r="B342" s="194" t="inlineStr">
        <is>
          <t>4D · SUBSCRIPTION DECISION FILTER — KEEP / CANCEL / REVIEW</t>
        </is>
      </c>
      <c r="C342" s="107" t="n"/>
      <c r="D342" s="107" t="n"/>
      <c r="E342" s="107" t="n"/>
      <c r="F342" s="107" t="n"/>
      <c r="G342" s="107" t="n"/>
      <c r="H342" s="107" t="n"/>
      <c r="I342" s="107" t="n"/>
      <c r="J342" s="108" t="n"/>
    </row>
    <row r="343">
      <c r="B343" s="232" t="inlineStr">
        <is>
          <t>Decision</t>
        </is>
      </c>
      <c r="C343" s="232" t="inlineStr">
        <is>
          <t>Service Count</t>
        </is>
      </c>
      <c r="D343" s="232" t="inlineStr">
        <is>
          <t>Monthly BRL</t>
        </is>
      </c>
      <c r="E343" s="232" t="inlineStr">
        <is>
          <t>Annual BRL</t>
        </is>
      </c>
      <c r="F343" s="232" t="inlineStr">
        <is>
          <t>Action</t>
        </is>
      </c>
    </row>
    <row r="344">
      <c r="B344" s="209" t="inlineStr">
        <is>
          <t>CANCEL</t>
        </is>
      </c>
      <c r="C344" s="257" t="n">
        <v>4</v>
      </c>
      <c r="D344" s="234" t="n">
        <v>365.8</v>
      </c>
      <c r="E344" s="234" t="n">
        <v>4389.599999999999</v>
      </c>
      <c r="F344" s="243" t="inlineStr">
        <is>
          <t>Cancel before next billing</t>
        </is>
      </c>
    </row>
    <row r="345">
      <c r="B345" s="207" t="inlineStr">
        <is>
          <t>KEEP</t>
        </is>
      </c>
      <c r="C345" s="258" t="n">
        <v>4</v>
      </c>
      <c r="D345" s="241" t="n">
        <v>331.8</v>
      </c>
      <c r="E345" s="241" t="n">
        <v>3981.6</v>
      </c>
      <c r="F345" s="247" t="inlineStr">
        <is>
          <t>Maintain — monitor quarterly</t>
        </is>
      </c>
    </row>
    <row r="346">
      <c r="B346" s="198" t="inlineStr">
        <is>
          <t>REVIEW</t>
        </is>
      </c>
      <c r="C346" s="259" t="n">
        <v>7</v>
      </c>
      <c r="D346" s="237" t="n">
        <v>646.9399999999999</v>
      </c>
      <c r="E346" s="237" t="n">
        <v>7763.279999999999</v>
      </c>
      <c r="F346" s="243" t="inlineStr">
        <is>
          <t>Decide by Aug 2026</t>
        </is>
      </c>
    </row>
    <row r="349" ht="16" customHeight="1">
      <c r="B349" s="194" t="inlineStr">
        <is>
          <t>4E · DYNAMIC LABEL FORMULAS — these feed dashboard header text boxes</t>
        </is>
      </c>
      <c r="C349" s="107" t="n"/>
      <c r="D349" s="107" t="n"/>
      <c r="E349" s="107" t="n"/>
      <c r="F349" s="107" t="n"/>
      <c r="G349" s="107" t="n"/>
      <c r="H349" s="107" t="n"/>
      <c r="I349" s="107" t="n"/>
      <c r="J349" s="107" t="n"/>
      <c r="K349" s="108" t="n"/>
    </row>
    <row r="350">
      <c r="B350" s="252" t="inlineStr">
        <is>
          <t>How to use: create a Data Validation dropdown on the dashboard pointing to the list above → link this formula to show active filter name.</t>
        </is>
      </c>
    </row>
    <row r="351">
      <c r="B351" s="232" t="inlineStr">
        <is>
          <t>Label Name</t>
        </is>
      </c>
      <c r="C351" s="232" t="inlineStr">
        <is>
          <t>Formula (paste into dashboard cell)</t>
        </is>
      </c>
      <c r="D351" s="232" t="inlineStr">
        <is>
          <t>Usage Note</t>
        </is>
      </c>
    </row>
    <row r="352">
      <c r="B352" s="198" t="inlineStr">
        <is>
          <t>Category Label</t>
        </is>
      </c>
      <c r="C352" s="260">
        <f>CHOOSE(COUNTA(C308:C318),B308,"Multiple","All")</f>
        <v/>
      </c>
      <c r="D352" s="243" t="inlineStr">
        <is>
          <t>Use when 1 category selected</t>
        </is>
      </c>
    </row>
    <row r="353">
      <c r="B353" s="198" t="inlineStr">
        <is>
          <t>Institution Label</t>
        </is>
      </c>
      <c r="C353" s="261">
        <f>CHOOSE(COUNTA(C324:C329),B324,"Multiple","All")</f>
        <v/>
      </c>
      <c r="D353" s="243" t="inlineStr">
        <is>
          <t>Use when 1 institution selected</t>
        </is>
      </c>
    </row>
    <row r="354">
      <c r="B354" s="198" t="inlineStr">
        <is>
          <t>Period Label</t>
        </is>
      </c>
      <c r="C354" s="260">
        <f>CHOOSE(COUNTA(C334:C339),G334,"Multiple","All Months")</f>
        <v/>
      </c>
      <c r="D354" s="243" t="inlineStr">
        <is>
          <t>Use when 1 month selected</t>
        </is>
      </c>
    </row>
    <row r="355">
      <c r="B355" s="198" t="inlineStr">
        <is>
          <t>Active Filters Summary</t>
        </is>
      </c>
      <c r="C355" s="261">
        <f>"Filters: Category + Institution + Period"</f>
        <v/>
      </c>
      <c r="D355" s="243" t="inlineStr">
        <is>
          <t>Concatenate active filter labels</t>
        </is>
      </c>
    </row>
    <row r="358" ht="16" customHeight="1">
      <c r="B358" s="194" t="inlineStr">
        <is>
          <t>STEP 4 REFERENCE — Addresses for dashboard wiring</t>
        </is>
      </c>
      <c r="C358" s="107" t="n"/>
      <c r="D358" s="107" t="n"/>
      <c r="E358" s="107" t="n"/>
      <c r="F358" s="107" t="n"/>
      <c r="G358" s="107" t="n"/>
      <c r="H358" s="107" t="n"/>
      <c r="I358" s="107" t="n"/>
      <c r="J358" s="107" t="n"/>
      <c r="K358" s="108" t="n"/>
    </row>
    <row r="359">
      <c r="B359" s="231" t="inlineStr">
        <is>
          <t>Category list:     B308:B318  (for Data Validation source)</t>
        </is>
      </c>
    </row>
    <row r="360">
      <c r="B360" s="231" t="inlineStr">
        <is>
          <t>Institution list:  B324:B329  (for Data Validation source)</t>
        </is>
      </c>
    </row>
    <row r="361">
      <c r="B361" s="231" t="inlineStr">
        <is>
          <t>Period list:       B334:B339  (for Data Validation source)</t>
        </is>
      </c>
    </row>
    <row r="362">
      <c r="B362" s="231" t="inlineStr">
        <is>
          <t>Category totals:   C308:C318  (feed SUMIF / INDEX-MATCH)</t>
        </is>
      </c>
    </row>
    <row r="363">
      <c r="B363" s="231" t="inlineStr">
        <is>
          <t>Institution totals:D324:D329  (feed SUMIF)</t>
        </is>
      </c>
    </row>
    <row r="364">
      <c r="B364" s="231" t="inlineStr"/>
    </row>
    <row r="365">
      <c r="B365" s="230" t="inlineStr">
        <is>
          <t>WIRING STEPS:</t>
        </is>
      </c>
    </row>
    <row r="366">
      <c r="B366" s="230" t="inlineStr">
        <is>
          <t>1. On dashboard: Insert → Data Validation → List → source = CALC!B{cat_list_start}:B{cat_list_end}</t>
        </is>
      </c>
    </row>
    <row r="367">
      <c r="B367" s="230" t="inlineStr">
        <is>
          <t>2. Link the dropdown cell to a named cell e.g. 'selected_category'</t>
        </is>
      </c>
    </row>
    <row r="368">
      <c r="B368" s="230" t="inlineStr">
        <is>
          <t>3. Use SUMIF(category_col, selected_category, value_col) in CALC for filtered totals</t>
        </is>
      </c>
    </row>
    <row r="369">
      <c r="B369" s="230" t="inlineStr">
        <is>
          <t>4. Wire the filtered total TEXT() cell into the dashboard text box</t>
        </is>
      </c>
    </row>
    <row r="372" ht="16" customHeight="1">
      <c r="B372" s="194" t="inlineStr">
        <is>
          <t>STEP 5 · SORT/FILTER RANKED TABLES — all sources, largest first</t>
        </is>
      </c>
      <c r="C372" s="107" t="n"/>
      <c r="D372" s="107" t="n"/>
      <c r="E372" s="107" t="n"/>
      <c r="F372" s="107" t="n"/>
      <c r="G372" s="107" t="n"/>
      <c r="H372" s="107" t="n"/>
      <c r="I372" s="107" t="n"/>
      <c r="J372" s="107" t="n"/>
      <c r="K372" s="108" t="n"/>
    </row>
    <row r="373">
      <c r="B373" s="185" t="inlineStr">
        <is>
          <t>Pre-sorted tables replicate SORT(range,col,-1). In Excel 365 these can be live formulas.</t>
        </is>
      </c>
    </row>
    <row r="375" ht="16" customHeight="1">
      <c r="B375" s="194" t="inlineStr">
        <is>
          <t>5A · TOP 20 MERCHANTS BY SPEND</t>
        </is>
      </c>
      <c r="C375" s="107" t="n"/>
      <c r="D375" s="107" t="n"/>
      <c r="E375" s="107" t="n"/>
      <c r="F375" s="107" t="n"/>
      <c r="G375" s="107" t="n"/>
      <c r="H375" s="107" t="n"/>
      <c r="I375" s="107" t="n"/>
      <c r="J375" s="108" t="n"/>
    </row>
    <row r="376">
      <c r="B376" s="232" t="inlineStr">
        <is>
          <t>Rank</t>
        </is>
      </c>
      <c r="C376" s="232" t="inlineStr">
        <is>
          <t>Merchant</t>
        </is>
      </c>
      <c r="D376" s="232" t="inlineStr">
        <is>
          <t>Category</t>
        </is>
      </c>
      <c r="E376" s="232" t="inlineStr">
        <is>
          <t>Total Spend</t>
        </is>
      </c>
      <c r="F376" s="232" t="inlineStr">
        <is>
          <t>Txs</t>
        </is>
      </c>
      <c r="G376" s="232" t="inlineStr">
        <is>
          <t>Avg/Tx</t>
        </is>
      </c>
      <c r="H376" s="232" t="inlineStr">
        <is>
          <t>% Total</t>
        </is>
      </c>
    </row>
    <row r="377">
      <c r="B377" s="235" t="n">
        <v>1</v>
      </c>
      <c r="C377" s="243" t="inlineStr">
        <is>
          <t>Compra internacional em LAN AIRLINE</t>
        </is>
      </c>
      <c r="D377" s="198" t="inlineStr">
        <is>
          <t>Viagem</t>
        </is>
      </c>
      <c r="E377" s="237" t="n">
        <v>9036.83</v>
      </c>
      <c r="F377" s="235" t="n">
        <v>1</v>
      </c>
      <c r="G377" s="219" t="n">
        <v>9036.83</v>
      </c>
      <c r="H377" s="253" t="n">
        <v>0.242627080236784</v>
      </c>
    </row>
    <row r="378">
      <c r="B378" s="240" t="n">
        <v>2</v>
      </c>
      <c r="C378" s="247" t="inlineStr">
        <is>
          <t>MERCADOLIVRE*3PRODUTOS</t>
        </is>
      </c>
      <c r="D378" s="201" t="inlineStr">
        <is>
          <t>Compras/ML</t>
        </is>
      </c>
      <c r="E378" s="242" t="n">
        <v>7395.629999999999</v>
      </c>
      <c r="F378" s="240" t="n">
        <v>3</v>
      </c>
      <c r="G378" s="222" t="n">
        <v>2465.21</v>
      </c>
      <c r="H378" s="254" t="n">
        <v>0.1985630042184667</v>
      </c>
    </row>
    <row r="379">
      <c r="B379" s="235" t="n">
        <v>3</v>
      </c>
      <c r="C379" s="243" t="inlineStr">
        <is>
          <t>Compra internacional em MANUS AI</t>
        </is>
      </c>
      <c r="D379" s="209" t="inlineStr">
        <is>
          <t>IA/Tecnologia</t>
        </is>
      </c>
      <c r="E379" s="234" t="n">
        <v>2182.73</v>
      </c>
      <c r="F379" s="235" t="n">
        <v>5</v>
      </c>
      <c r="G379" s="219" t="n">
        <v>436.546</v>
      </c>
      <c r="H379" s="165" t="n">
        <v>0.05860344909058104</v>
      </c>
    </row>
    <row r="380">
      <c r="B380" s="240" t="n">
        <v>4</v>
      </c>
      <c r="C380" s="247" t="inlineStr">
        <is>
          <t>Compra internacional em CLAUDE.AI S</t>
        </is>
      </c>
      <c r="D380" s="213" t="inlineStr">
        <is>
          <t>IA/Tecnologia</t>
        </is>
      </c>
      <c r="E380" s="239" t="n">
        <v>1252.35</v>
      </c>
      <c r="F380" s="240" t="n">
        <v>2</v>
      </c>
      <c r="G380" s="222" t="n">
        <v>626.175</v>
      </c>
      <c r="H380" s="166" t="n">
        <v>0.03362396149252962</v>
      </c>
    </row>
    <row r="381">
      <c r="B381" s="235" t="n">
        <v>5</v>
      </c>
      <c r="C381" s="243" t="inlineStr">
        <is>
          <t>Compra internacional em OPENAI *CHA</t>
        </is>
      </c>
      <c r="D381" s="209" t="inlineStr">
        <is>
          <t>IA/Tecnologia</t>
        </is>
      </c>
      <c r="E381" s="234" t="n">
        <v>1074.79</v>
      </c>
      <c r="F381" s="235" t="n">
        <v>10</v>
      </c>
      <c r="G381" s="219" t="n">
        <v>107.479</v>
      </c>
      <c r="H381" s="165" t="n">
        <v>0.0288567074480424</v>
      </c>
    </row>
    <row r="382">
      <c r="B382" s="240" t="n">
        <v>6</v>
      </c>
      <c r="C382" s="247" t="inlineStr">
        <is>
          <t>STARLINK INTERNET</t>
        </is>
      </c>
      <c r="D382" s="207" t="inlineStr">
        <is>
          <t>Internet</t>
        </is>
      </c>
      <c r="E382" s="241" t="n">
        <v>942.08</v>
      </c>
      <c r="F382" s="240" t="n">
        <v>4</v>
      </c>
      <c r="G382" s="222" t="n">
        <v>235.52</v>
      </c>
      <c r="H382" s="168" t="n">
        <v>0.02529361731375598</v>
      </c>
    </row>
    <row r="383">
      <c r="B383" s="235" t="n">
        <v>7</v>
      </c>
      <c r="C383" s="243" t="inlineStr">
        <is>
          <t>Compra internacional em WWW.PERPLEX</t>
        </is>
      </c>
      <c r="D383" s="209" t="inlineStr">
        <is>
          <t>IA/Tecnologia</t>
        </is>
      </c>
      <c r="E383" s="234" t="n">
        <v>650.99</v>
      </c>
      <c r="F383" s="235" t="n">
        <v>7</v>
      </c>
      <c r="G383" s="219" t="n">
        <v>92.99857142857142</v>
      </c>
      <c r="H383" s="165" t="n">
        <v>0.01747823107918861</v>
      </c>
    </row>
    <row r="384">
      <c r="B384" s="240" t="n">
        <v>8</v>
      </c>
      <c r="C384" s="247" t="inlineStr">
        <is>
          <t>Compra internacional em OPENAI* CHA</t>
        </is>
      </c>
      <c r="D384" s="213" t="inlineStr">
        <is>
          <t>IA/Tecnologia</t>
        </is>
      </c>
      <c r="E384" s="239" t="n">
        <v>622.67</v>
      </c>
      <c r="F384" s="240" t="n">
        <v>3</v>
      </c>
      <c r="G384" s="222" t="n">
        <v>207.5566666666666</v>
      </c>
      <c r="H384" s="166" t="n">
        <v>0.01671787607502169</v>
      </c>
    </row>
    <row r="385">
      <c r="B385" s="235" t="n">
        <v>9</v>
      </c>
      <c r="C385" s="243" t="inlineStr">
        <is>
          <t>Compra internacional em RAYCAST.COM</t>
        </is>
      </c>
      <c r="D385" s="243" t="inlineStr">
        <is>
          <t>Outros</t>
        </is>
      </c>
      <c r="E385" s="219" t="n">
        <v>524.63</v>
      </c>
      <c r="F385" s="235" t="n">
        <v>1</v>
      </c>
      <c r="G385" s="219" t="n">
        <v>524.63</v>
      </c>
      <c r="H385" s="163" t="n">
        <v>0.01408563014957944</v>
      </c>
    </row>
    <row r="386">
      <c r="B386" s="240" t="n">
        <v>10</v>
      </c>
      <c r="C386" s="247" t="inlineStr">
        <is>
          <t>MICROSOFT*STORE</t>
        </is>
      </c>
      <c r="D386" s="247" t="inlineStr">
        <is>
          <t>Outros</t>
        </is>
      </c>
      <c r="E386" s="222" t="n">
        <v>509</v>
      </c>
      <c r="F386" s="240" t="n">
        <v>1</v>
      </c>
      <c r="G386" s="222" t="n">
        <v>509</v>
      </c>
      <c r="H386" s="164" t="n">
        <v>0.01366598506783054</v>
      </c>
    </row>
    <row r="387">
      <c r="B387" s="235" t="n">
        <v>11</v>
      </c>
      <c r="C387" s="243" t="inlineStr">
        <is>
          <t>MERCADOLIVRE*MERCADOLIVRE</t>
        </is>
      </c>
      <c r="D387" s="198" t="inlineStr">
        <is>
          <t>Compras/ML</t>
        </is>
      </c>
      <c r="E387" s="237" t="n">
        <v>483.98</v>
      </c>
      <c r="F387" s="235" t="n">
        <v>1</v>
      </c>
      <c r="G387" s="219" t="n">
        <v>483.98</v>
      </c>
      <c r="H387" s="253" t="n">
        <v>0.0129942307527085</v>
      </c>
    </row>
    <row r="388">
      <c r="B388" s="240" t="n">
        <v>12</v>
      </c>
      <c r="C388" s="247" t="inlineStr">
        <is>
          <t>Compra internacional em ALLIANZ EVE</t>
        </is>
      </c>
      <c r="D388" s="247" t="inlineStr">
        <is>
          <t>Outros</t>
        </is>
      </c>
      <c r="E388" s="222" t="n">
        <v>478.17</v>
      </c>
      <c r="F388" s="240" t="n">
        <v>1</v>
      </c>
      <c r="G388" s="222" t="n">
        <v>478.17</v>
      </c>
      <c r="H388" s="164" t="n">
        <v>0.01283823984260222</v>
      </c>
    </row>
    <row r="389">
      <c r="B389" s="235" t="n">
        <v>13</v>
      </c>
      <c r="C389" s="243" t="inlineStr">
        <is>
          <t>MERCADOLIVRE*7PRODUTOS</t>
        </is>
      </c>
      <c r="D389" s="198" t="inlineStr">
        <is>
          <t>Compras/ML</t>
        </is>
      </c>
      <c r="E389" s="237" t="n">
        <v>453.64</v>
      </c>
      <c r="F389" s="235" t="n">
        <v>1</v>
      </c>
      <c r="G389" s="219" t="n">
        <v>453.64</v>
      </c>
      <c r="H389" s="253" t="n">
        <v>0.01217964138736866</v>
      </c>
    </row>
    <row r="390">
      <c r="B390" s="240" t="n">
        <v>14</v>
      </c>
      <c r="C390" s="247" t="inlineStr">
        <is>
          <t>MP*LOTERIASONLINEDVRW</t>
        </is>
      </c>
      <c r="D390" s="213" t="inlineStr">
        <is>
          <t>Loteria</t>
        </is>
      </c>
      <c r="E390" s="239" t="n">
        <v>336</v>
      </c>
      <c r="F390" s="240" t="n">
        <v>1</v>
      </c>
      <c r="G390" s="222" t="n">
        <v>336</v>
      </c>
      <c r="H390" s="166" t="n">
        <v>0.009021161066387154</v>
      </c>
    </row>
    <row r="391">
      <c r="B391" s="235" t="n">
        <v>15</v>
      </c>
      <c r="C391" s="243" t="inlineStr">
        <is>
          <t>MP*LOTERIASONLINE72W6</t>
        </is>
      </c>
      <c r="D391" s="209" t="inlineStr">
        <is>
          <t>Loteria</t>
        </is>
      </c>
      <c r="E391" s="234" t="n">
        <v>336</v>
      </c>
      <c r="F391" s="235" t="n">
        <v>1</v>
      </c>
      <c r="G391" s="219" t="n">
        <v>336</v>
      </c>
      <c r="H391" s="165" t="n">
        <v>0.009021161066387154</v>
      </c>
    </row>
    <row r="392">
      <c r="B392" s="240" t="n">
        <v>16</v>
      </c>
      <c r="C392" s="247" t="inlineStr">
        <is>
          <t xml:space="preserve">Compra internacional em CURSOR, AI </t>
        </is>
      </c>
      <c r="D392" s="213" t="inlineStr">
        <is>
          <t>IA/Tecnologia</t>
        </is>
      </c>
      <c r="E392" s="239" t="n">
        <v>335.43</v>
      </c>
      <c r="F392" s="240" t="n">
        <v>3</v>
      </c>
      <c r="G392" s="222" t="n">
        <v>111.81</v>
      </c>
      <c r="H392" s="166" t="n">
        <v>0.009005857311006676</v>
      </c>
    </row>
    <row r="393">
      <c r="B393" s="235" t="n">
        <v>17</v>
      </c>
      <c r="C393" s="243" t="inlineStr">
        <is>
          <t>APPLECOMBILL</t>
        </is>
      </c>
      <c r="D393" s="198" t="inlineStr">
        <is>
          <t>Assinatura</t>
        </is>
      </c>
      <c r="E393" s="237" t="n">
        <v>325.1999999999999</v>
      </c>
      <c r="F393" s="235" t="n">
        <v>8</v>
      </c>
      <c r="G393" s="219" t="n">
        <v>40.64999999999999</v>
      </c>
      <c r="H393" s="253" t="n">
        <v>0.008731195174967564</v>
      </c>
    </row>
    <row r="394">
      <c r="B394" s="240" t="n">
        <v>18</v>
      </c>
      <c r="C394" s="247" t="inlineStr">
        <is>
          <t>APPLE.COM/BILL</t>
        </is>
      </c>
      <c r="D394" s="201" t="inlineStr">
        <is>
          <t>Assinatura</t>
        </is>
      </c>
      <c r="E394" s="242" t="n">
        <v>293.4</v>
      </c>
      <c r="F394" s="240" t="n">
        <v>6</v>
      </c>
      <c r="G394" s="222" t="n">
        <v>48.9</v>
      </c>
      <c r="H394" s="254" t="n">
        <v>0.007877406716898782</v>
      </c>
    </row>
    <row r="395">
      <c r="B395" s="235" t="n">
        <v>19</v>
      </c>
      <c r="C395" s="243" t="inlineStr">
        <is>
          <t>Compra internacional em DESKTOP COM</t>
        </is>
      </c>
      <c r="D395" s="243" t="inlineStr">
        <is>
          <t>Outros</t>
        </is>
      </c>
      <c r="E395" s="219" t="n">
        <v>272.21</v>
      </c>
      <c r="F395" s="235" t="n">
        <v>1</v>
      </c>
      <c r="G395" s="219" t="n">
        <v>272.21</v>
      </c>
      <c r="H395" s="163" t="n">
        <v>0.007308482898456091</v>
      </c>
    </row>
    <row r="396">
      <c r="B396" s="240" t="n">
        <v>20</v>
      </c>
      <c r="C396" s="247" t="inlineStr">
        <is>
          <t>DL*GOOGLE YouTub</t>
        </is>
      </c>
      <c r="D396" s="201" t="inlineStr">
        <is>
          <t>Assinatura</t>
        </is>
      </c>
      <c r="E396" s="242" t="n">
        <v>269</v>
      </c>
      <c r="F396" s="240" t="n">
        <v>1</v>
      </c>
      <c r="G396" s="222" t="n">
        <v>269</v>
      </c>
      <c r="H396" s="254" t="n">
        <v>0.007222298591839715</v>
      </c>
    </row>
    <row r="399" ht="16" customHeight="1">
      <c r="B399" s="194" t="inlineStr">
        <is>
          <t>5B · TOP 15 FX OPERATIONS BY BRL</t>
        </is>
      </c>
      <c r="C399" s="107" t="n"/>
      <c r="D399" s="107" t="n"/>
      <c r="E399" s="107" t="n"/>
      <c r="F399" s="107" t="n"/>
      <c r="G399" s="107" t="n"/>
      <c r="H399" s="107" t="n"/>
      <c r="I399" s="107" t="n"/>
      <c r="J399" s="108" t="n"/>
    </row>
    <row r="400">
      <c r="B400" s="232" t="inlineStr">
        <is>
          <t>Rank</t>
        </is>
      </c>
      <c r="C400" s="232" t="inlineStr">
        <is>
          <t>Date</t>
        </is>
      </c>
      <c r="D400" s="232" t="inlineStr">
        <is>
          <t>Institution</t>
        </is>
      </c>
      <c r="E400" s="232" t="inlineStr">
        <is>
          <t>Destination</t>
        </is>
      </c>
      <c r="F400" s="232" t="inlineStr">
        <is>
          <t>BRL</t>
        </is>
      </c>
      <c r="G400" s="232" t="inlineStr">
        <is>
          <t>CCY</t>
        </is>
      </c>
      <c r="H400" s="232" t="inlineStr">
        <is>
          <t>Direction</t>
        </is>
      </c>
      <c r="I400" s="232" t="inlineStr">
        <is>
          <t>Rate</t>
        </is>
      </c>
    </row>
    <row r="401">
      <c r="B401" s="235" t="n">
        <v>1</v>
      </c>
      <c r="C401" s="233" t="inlineStr">
        <is>
          <t>2026-06-22</t>
        </is>
      </c>
      <c r="D401" s="243" t="inlineStr">
        <is>
          <t>BB Brasil</t>
        </is>
      </c>
      <c r="E401" s="243" t="inlineStr">
        <is>
          <t>USA - Own Account</t>
        </is>
      </c>
      <c r="F401" s="234" t="n">
        <v>241545.87</v>
      </c>
      <c r="G401" s="233" t="inlineStr">
        <is>
          <t>USD</t>
        </is>
      </c>
      <c r="H401" s="210" t="inlineStr">
        <is>
          <t>Outbound</t>
        </is>
      </c>
      <c r="I401" s="123" t="n">
        <v>5.2245</v>
      </c>
    </row>
    <row r="402">
      <c r="B402" s="240" t="n">
        <v>2</v>
      </c>
      <c r="C402" s="238" t="inlineStr">
        <is>
          <t>2026-05-28</t>
        </is>
      </c>
      <c r="D402" s="247" t="inlineStr">
        <is>
          <t>Banco Topázio</t>
        </is>
      </c>
      <c r="E402" s="247" t="inlineStr">
        <is>
          <t>Interactive Brokers</t>
        </is>
      </c>
      <c r="F402" s="241" t="n">
        <v>101772.38</v>
      </c>
      <c r="G402" s="238" t="inlineStr">
        <is>
          <t>USD</t>
        </is>
      </c>
      <c r="H402" s="208" t="inlineStr">
        <is>
          <t>IB Deposit</t>
        </is>
      </c>
      <c r="I402" s="127" t="n">
        <v>5.0886</v>
      </c>
    </row>
    <row r="403">
      <c r="B403" s="235" t="n">
        <v>3</v>
      </c>
      <c r="C403" s="233" t="inlineStr">
        <is>
          <t>2026-06-22</t>
        </is>
      </c>
      <c r="D403" s="243" t="inlineStr">
        <is>
          <t>Wise Brasil</t>
        </is>
      </c>
      <c r="E403" s="243" t="inlineStr">
        <is>
          <t>UK - Eduardo Giovannini</t>
        </is>
      </c>
      <c r="F403" s="234" t="n">
        <v>87442.25999999999</v>
      </c>
      <c r="G403" s="233" t="inlineStr">
        <is>
          <t>USD</t>
        </is>
      </c>
      <c r="H403" s="210" t="inlineStr">
        <is>
          <t>Outbound</t>
        </is>
      </c>
      <c r="I403" s="123" t="n">
        <v>5.1436</v>
      </c>
    </row>
    <row r="404">
      <c r="B404" s="240" t="n">
        <v>4</v>
      </c>
      <c r="C404" s="238" t="inlineStr">
        <is>
          <t>2026-06-05</t>
        </is>
      </c>
      <c r="D404" s="247" t="inlineStr">
        <is>
          <t>Banco Topázio</t>
        </is>
      </c>
      <c r="E404" s="247" t="inlineStr">
        <is>
          <t>Fundos investimento BRL</t>
        </is>
      </c>
      <c r="F404" s="133" t="n">
        <v>78323.92</v>
      </c>
      <c r="G404" s="238" t="inlineStr">
        <is>
          <t>BRL</t>
        </is>
      </c>
      <c r="H404" s="248" t="inlineStr">
        <is>
          <t>Fund Deposit</t>
        </is>
      </c>
      <c r="I404" s="127" t="inlineStr"/>
    </row>
    <row r="405">
      <c r="B405" s="235" t="n">
        <v>5</v>
      </c>
      <c r="C405" s="233" t="inlineStr">
        <is>
          <t>2026-05-11</t>
        </is>
      </c>
      <c r="D405" s="243" t="inlineStr">
        <is>
          <t>Banco Inter</t>
        </is>
      </c>
      <c r="E405" s="243" t="inlineStr">
        <is>
          <t>USA - Own Account</t>
        </is>
      </c>
      <c r="F405" s="234" t="n">
        <v>74340.39999999999</v>
      </c>
      <c r="G405" s="233" t="inlineStr">
        <is>
          <t>USD</t>
        </is>
      </c>
      <c r="H405" s="210" t="inlineStr">
        <is>
          <t>Outbound</t>
        </is>
      </c>
      <c r="I405" s="123" t="n">
        <v>4.956</v>
      </c>
    </row>
    <row r="406">
      <c r="B406" s="240" t="n">
        <v>6</v>
      </c>
      <c r="C406" s="238" t="inlineStr">
        <is>
          <t>2026-06-05</t>
        </is>
      </c>
      <c r="D406" s="247" t="inlineStr">
        <is>
          <t>BB Brasil</t>
        </is>
      </c>
      <c r="E406" s="247" t="inlineStr">
        <is>
          <t>USA → Eduardo Forster Giovannini</t>
        </is>
      </c>
      <c r="F406" s="139" t="n">
        <v>73857</v>
      </c>
      <c r="G406" s="238" t="inlineStr">
        <is>
          <t>BRL</t>
        </is>
      </c>
      <c r="H406" s="218" t="inlineStr">
        <is>
          <t>Inbound</t>
        </is>
      </c>
      <c r="I406" s="127" t="inlineStr"/>
    </row>
    <row r="407">
      <c r="B407" s="235" t="n">
        <v>7</v>
      </c>
      <c r="C407" s="233" t="inlineStr">
        <is>
          <t>2026-06-19</t>
        </is>
      </c>
      <c r="D407" s="243" t="inlineStr">
        <is>
          <t>Banco Topázio</t>
        </is>
      </c>
      <c r="E407" s="243" t="inlineStr">
        <is>
          <t>Fundos investimento BRL</t>
        </is>
      </c>
      <c r="F407" s="136" t="n">
        <v>52441.91</v>
      </c>
      <c r="G407" s="233" t="inlineStr">
        <is>
          <t>BRL</t>
        </is>
      </c>
      <c r="H407" s="244" t="inlineStr">
        <is>
          <t>Fund Deposit</t>
        </is>
      </c>
      <c r="I407" s="123" t="inlineStr"/>
    </row>
    <row r="408">
      <c r="B408" s="240" t="n">
        <v>8</v>
      </c>
      <c r="C408" s="238" t="inlineStr">
        <is>
          <t>2026-05-26</t>
        </is>
      </c>
      <c r="D408" s="247" t="inlineStr">
        <is>
          <t>BB Brasil</t>
        </is>
      </c>
      <c r="E408" s="247" t="inlineStr">
        <is>
          <t>USA - Own Account</t>
        </is>
      </c>
      <c r="F408" s="239" t="n">
        <v>51027.68</v>
      </c>
      <c r="G408" s="238" t="inlineStr">
        <is>
          <t>USD</t>
        </is>
      </c>
      <c r="H408" s="214" t="inlineStr">
        <is>
          <t>Outbound</t>
        </is>
      </c>
      <c r="I408" s="127" t="n">
        <v>5.1028</v>
      </c>
    </row>
    <row r="409">
      <c r="B409" s="235" t="n">
        <v>9</v>
      </c>
      <c r="C409" s="233" t="inlineStr">
        <is>
          <t>2026-05-22</t>
        </is>
      </c>
      <c r="D409" s="243" t="inlineStr">
        <is>
          <t>Banco Topázio</t>
        </is>
      </c>
      <c r="E409" s="243" t="inlineStr">
        <is>
          <t>Fundos investimento BRL</t>
        </is>
      </c>
      <c r="F409" s="136" t="n">
        <v>45000</v>
      </c>
      <c r="G409" s="233" t="inlineStr">
        <is>
          <t>BRL</t>
        </is>
      </c>
      <c r="H409" s="244" t="inlineStr">
        <is>
          <t>Fund Deposit</t>
        </is>
      </c>
      <c r="I409" s="123" t="inlineStr"/>
    </row>
    <row r="410">
      <c r="B410" s="240" t="n">
        <v>10</v>
      </c>
      <c r="C410" s="238" t="inlineStr">
        <is>
          <t>2026-06-22</t>
        </is>
      </c>
      <c r="D410" s="247" t="inlineStr">
        <is>
          <t>Wise Brasil</t>
        </is>
      </c>
      <c r="E410" s="247" t="inlineStr">
        <is>
          <t>Interactive Brokers</t>
        </is>
      </c>
      <c r="F410" s="241" t="n">
        <v>38396.86</v>
      </c>
      <c r="G410" s="238" t="inlineStr">
        <is>
          <t>USD</t>
        </is>
      </c>
      <c r="H410" s="208" t="inlineStr">
        <is>
          <t>IB Deposit</t>
        </is>
      </c>
      <c r="I410" s="127" t="n">
        <v>5.151</v>
      </c>
    </row>
    <row r="411">
      <c r="B411" s="235" t="n">
        <v>11</v>
      </c>
      <c r="C411" s="233" t="inlineStr">
        <is>
          <t>2026-05-20</t>
        </is>
      </c>
      <c r="D411" s="243" t="inlineStr">
        <is>
          <t>Banco Topázio</t>
        </is>
      </c>
      <c r="E411" s="243" t="inlineStr">
        <is>
          <t>Interactive Brokers</t>
        </is>
      </c>
      <c r="F411" s="236" t="n">
        <v>31651.83</v>
      </c>
      <c r="G411" s="233" t="inlineStr">
        <is>
          <t>USD</t>
        </is>
      </c>
      <c r="H411" s="206" t="inlineStr">
        <is>
          <t>IB Deposit</t>
        </is>
      </c>
      <c r="I411" s="123" t="n">
        <v>5.0949</v>
      </c>
    </row>
    <row r="412">
      <c r="B412" s="240" t="n">
        <v>12</v>
      </c>
      <c r="C412" s="238" t="inlineStr">
        <is>
          <t>2026-05-28</t>
        </is>
      </c>
      <c r="D412" s="247" t="inlineStr">
        <is>
          <t>BB Brasil</t>
        </is>
      </c>
      <c r="E412" s="247" t="inlineStr">
        <is>
          <t>USA - Own Account</t>
        </is>
      </c>
      <c r="F412" s="239" t="n">
        <v>25650.76</v>
      </c>
      <c r="G412" s="238" t="inlineStr">
        <is>
          <t>USD</t>
        </is>
      </c>
      <c r="H412" s="214" t="inlineStr">
        <is>
          <t>Outbound</t>
        </is>
      </c>
      <c r="I412" s="127" t="n">
        <v>5.1302</v>
      </c>
    </row>
    <row r="413">
      <c r="B413" s="235" t="n">
        <v>13</v>
      </c>
      <c r="C413" s="233" t="inlineStr">
        <is>
          <t>2026-06-16</t>
        </is>
      </c>
      <c r="D413" s="243" t="inlineStr">
        <is>
          <t>Ouribank</t>
        </is>
      </c>
      <c r="E413" s="243" t="inlineStr">
        <is>
          <t>Inbound payment order</t>
        </is>
      </c>
      <c r="F413" s="142" t="n">
        <v>25000</v>
      </c>
      <c r="G413" s="233" t="inlineStr">
        <is>
          <t>BRL</t>
        </is>
      </c>
      <c r="H413" s="143" t="inlineStr">
        <is>
          <t>Inbound</t>
        </is>
      </c>
      <c r="I413" s="123" t="inlineStr"/>
    </row>
    <row r="414">
      <c r="B414" s="240" t="n">
        <v>14</v>
      </c>
      <c r="C414" s="238" t="inlineStr">
        <is>
          <t>2026-05-07</t>
        </is>
      </c>
      <c r="D414" s="247" t="inlineStr">
        <is>
          <t>Banco Inter</t>
        </is>
      </c>
      <c r="E414" s="247" t="inlineStr">
        <is>
          <t>USA - Own Account</t>
        </is>
      </c>
      <c r="F414" s="239" t="n">
        <v>24939.84</v>
      </c>
      <c r="G414" s="238" t="inlineStr">
        <is>
          <t>USD</t>
        </is>
      </c>
      <c r="H414" s="214" t="inlineStr">
        <is>
          <t>Outbound</t>
        </is>
      </c>
      <c r="I414" s="127" t="n">
        <v>4.988</v>
      </c>
    </row>
    <row r="415">
      <c r="B415" s="235" t="n">
        <v>15</v>
      </c>
      <c r="C415" s="233" t="inlineStr">
        <is>
          <t>2026-05-18</t>
        </is>
      </c>
      <c r="D415" s="243" t="inlineStr">
        <is>
          <t>Wise Brasil</t>
        </is>
      </c>
      <c r="E415" s="243" t="inlineStr">
        <is>
          <t>Interactive Brokers</t>
        </is>
      </c>
      <c r="F415" s="236" t="n">
        <v>19195.81</v>
      </c>
      <c r="G415" s="233" t="inlineStr">
        <is>
          <t>USD</t>
        </is>
      </c>
      <c r="H415" s="206" t="inlineStr">
        <is>
          <t>IB Deposit</t>
        </is>
      </c>
      <c r="I415" s="123" t="n">
        <v>5.0056</v>
      </c>
    </row>
    <row r="418" ht="16" customHeight="1">
      <c r="B418" s="194" t="inlineStr">
        <is>
          <t>5C · SUBSCRIPTIONS RANKED BY MONTHLY COST</t>
        </is>
      </c>
      <c r="C418" s="107" t="n"/>
      <c r="D418" s="107" t="n"/>
      <c r="E418" s="107" t="n"/>
      <c r="F418" s="107" t="n"/>
      <c r="G418" s="107" t="n"/>
      <c r="H418" s="107" t="n"/>
      <c r="I418" s="107" t="n"/>
      <c r="J418" s="108" t="n"/>
    </row>
    <row r="419">
      <c r="B419" s="232" t="inlineStr">
        <is>
          <t>Rank</t>
        </is>
      </c>
      <c r="C419" s="232" t="inlineStr">
        <is>
          <t>Service</t>
        </is>
      </c>
      <c r="D419" s="232" t="inlineStr">
        <is>
          <t>Plan</t>
        </is>
      </c>
      <c r="E419" s="232" t="inlineStr">
        <is>
          <t>Monthly BRL</t>
        </is>
      </c>
      <c r="F419" s="232" t="inlineStr">
        <is>
          <t>Annual</t>
        </is>
      </c>
      <c r="G419" s="232" t="inlineStr">
        <is>
          <t>Category</t>
        </is>
      </c>
      <c r="H419" s="232" t="inlineStr">
        <is>
          <t>Risk</t>
        </is>
      </c>
      <c r="I419" s="232" t="inlineStr">
        <is>
          <t>Decision</t>
        </is>
      </c>
    </row>
    <row r="420">
      <c r="B420" s="235" t="n">
        <v>1</v>
      </c>
      <c r="C420" s="243" t="inlineStr">
        <is>
          <t>Manus</t>
        </is>
      </c>
      <c r="D420" s="243" t="inlineStr">
        <is>
          <t>Unknown / credits</t>
        </is>
      </c>
      <c r="E420" s="237" t="n">
        <v>418.43</v>
      </c>
      <c r="F420" s="237" t="n">
        <v>5021.16</v>
      </c>
      <c r="G420" s="243" t="inlineStr">
        <is>
          <t>AI - Agent/Credits</t>
        </is>
      </c>
      <c r="H420" s="233" t="inlineStr">
        <is>
          <t>UNKNOWN</t>
        </is>
      </c>
      <c r="I420" s="215" t="inlineStr">
        <is>
          <t>REVIEW</t>
        </is>
      </c>
    </row>
    <row r="421">
      <c r="B421" s="240" t="n">
        <v>2</v>
      </c>
      <c r="C421" s="247" t="inlineStr">
        <is>
          <t>Grok</t>
        </is>
      </c>
      <c r="D421" s="247" t="inlineStr">
        <is>
          <t>SuperGrok</t>
        </is>
      </c>
      <c r="E421" s="239" t="n">
        <v>149.9</v>
      </c>
      <c r="F421" s="239" t="n">
        <v>1798.8</v>
      </c>
      <c r="G421" s="247" t="inlineStr">
        <is>
          <t>AI - General/Media</t>
        </is>
      </c>
      <c r="H421" s="214" t="inlineStr">
        <is>
          <t>HIGH</t>
        </is>
      </c>
      <c r="I421" s="214" t="inlineStr">
        <is>
          <t>CANCEL</t>
        </is>
      </c>
    </row>
    <row r="422">
      <c r="B422" s="235" t="n">
        <v>3</v>
      </c>
      <c r="C422" s="243" t="inlineStr">
        <is>
          <t>ChatGPT</t>
        </is>
      </c>
      <c r="D422" s="243" t="inlineStr">
        <is>
          <t>Plus</t>
        </is>
      </c>
      <c r="E422" s="236" t="n">
        <v>106</v>
      </c>
      <c r="F422" s="236" t="n">
        <v>1272</v>
      </c>
      <c r="G422" s="243" t="inlineStr">
        <is>
          <t>AI - General Assistant</t>
        </is>
      </c>
      <c r="H422" s="215" t="inlineStr">
        <is>
          <t>MEDIUM</t>
        </is>
      </c>
      <c r="I422" s="206" t="inlineStr">
        <is>
          <t>KEEP</t>
        </is>
      </c>
    </row>
    <row r="423">
      <c r="B423" s="240" t="n">
        <v>4</v>
      </c>
      <c r="C423" s="247" t="inlineStr">
        <is>
          <t>Cursor</t>
        </is>
      </c>
      <c r="D423" s="247" t="inlineStr">
        <is>
          <t>Pro</t>
        </is>
      </c>
      <c r="E423" s="241" t="n">
        <v>106</v>
      </c>
      <c r="F423" s="241" t="n">
        <v>1272</v>
      </c>
      <c r="G423" s="247" t="inlineStr">
        <is>
          <t>AI - Coding Assistant</t>
        </is>
      </c>
      <c r="H423" s="204" t="inlineStr">
        <is>
          <t>MEDIUM</t>
        </is>
      </c>
      <c r="I423" s="208" t="inlineStr">
        <is>
          <t>KEEP</t>
        </is>
      </c>
    </row>
    <row r="424">
      <c r="B424" s="235" t="n">
        <v>5</v>
      </c>
      <c r="C424" s="243" t="inlineStr">
        <is>
          <t>Perplexity</t>
        </is>
      </c>
      <c r="D424" s="243" t="inlineStr">
        <is>
          <t>Perplexity Pro for Mac</t>
        </is>
      </c>
      <c r="E424" s="236" t="n">
        <v>99.90000000000001</v>
      </c>
      <c r="F424" s="236" t="n">
        <v>1198.8</v>
      </c>
      <c r="G424" s="243" t="inlineStr">
        <is>
          <t>AI - Research Assistant</t>
        </is>
      </c>
      <c r="H424" s="210" t="inlineStr">
        <is>
          <t>HIGH</t>
        </is>
      </c>
      <c r="I424" s="206" t="inlineStr">
        <is>
          <t>KEEP</t>
        </is>
      </c>
    </row>
    <row r="425">
      <c r="B425" s="240" t="n">
        <v>6</v>
      </c>
      <c r="C425" s="247" t="inlineStr">
        <is>
          <t>Google</t>
        </is>
      </c>
      <c r="D425" s="247" t="inlineStr">
        <is>
          <t>Pro</t>
        </is>
      </c>
      <c r="E425" s="242" t="n">
        <v>96.98999999999999</v>
      </c>
      <c r="F425" s="242" t="n">
        <v>1163.88</v>
      </c>
      <c r="G425" s="247" t="inlineStr">
        <is>
          <t>AI - General/Workspace</t>
        </is>
      </c>
      <c r="H425" s="214" t="inlineStr">
        <is>
          <t>HIGH</t>
        </is>
      </c>
      <c r="I425" s="204" t="inlineStr">
        <is>
          <t>REVIEW</t>
        </is>
      </c>
    </row>
    <row r="426">
      <c r="B426" s="235" t="n">
        <v>7</v>
      </c>
      <c r="C426" s="243" t="inlineStr">
        <is>
          <t>Claude</t>
        </is>
      </c>
      <c r="D426" s="243" t="inlineStr">
        <is>
          <t>Pro</t>
        </is>
      </c>
      <c r="E426" s="234" t="n">
        <v>92</v>
      </c>
      <c r="F426" s="234" t="n">
        <v>1104</v>
      </c>
      <c r="G426" s="243" t="inlineStr">
        <is>
          <t>AI - General/Coding</t>
        </is>
      </c>
      <c r="H426" s="210" t="inlineStr">
        <is>
          <t>HIGH</t>
        </is>
      </c>
      <c r="I426" s="210" t="inlineStr">
        <is>
          <t>CANCEL</t>
        </is>
      </c>
    </row>
    <row r="427">
      <c r="B427" s="240" t="n">
        <v>8</v>
      </c>
      <c r="C427" s="247" t="inlineStr">
        <is>
          <t>Claude</t>
        </is>
      </c>
      <c r="D427" s="247" t="inlineStr">
        <is>
          <t>Pro</t>
        </is>
      </c>
      <c r="E427" s="239" t="n">
        <v>92</v>
      </c>
      <c r="F427" s="239" t="n">
        <v>1104</v>
      </c>
      <c r="G427" s="247" t="inlineStr">
        <is>
          <t>AI - General/Coding</t>
        </is>
      </c>
      <c r="H427" s="214" t="inlineStr">
        <is>
          <t>HIGH</t>
        </is>
      </c>
      <c r="I427" s="214" t="inlineStr">
        <is>
          <t>CANCEL</t>
        </is>
      </c>
    </row>
    <row r="428">
      <c r="B428" s="235" t="n">
        <v>9</v>
      </c>
      <c r="C428" s="243" t="inlineStr">
        <is>
          <t>Desktop Commander</t>
        </is>
      </c>
      <c r="D428" s="243" t="inlineStr">
        <is>
          <t>Unlimited</t>
        </is>
      </c>
      <c r="E428" s="237" t="n">
        <v>45.37</v>
      </c>
      <c r="F428" s="237" t="n">
        <v>544.4399999999999</v>
      </c>
      <c r="G428" s="243" t="inlineStr">
        <is>
          <t>AI - Desktop Automation</t>
        </is>
      </c>
      <c r="H428" s="233" t="inlineStr">
        <is>
          <t>UNKNOWN</t>
        </is>
      </c>
      <c r="I428" s="215" t="inlineStr">
        <is>
          <t>REVIEW</t>
        </is>
      </c>
    </row>
    <row r="429">
      <c r="B429" s="240" t="n">
        <v>10</v>
      </c>
      <c r="C429" s="247" t="inlineStr">
        <is>
          <t>Microsoft 365 Personal</t>
        </is>
      </c>
      <c r="D429" s="247" t="inlineStr">
        <is>
          <t>Personal</t>
        </is>
      </c>
      <c r="E429" s="242" t="n">
        <v>42.41666666666666</v>
      </c>
      <c r="F429" s="242" t="n">
        <v>508.9999999999999</v>
      </c>
      <c r="G429" s="247" t="inlineStr">
        <is>
          <t>Productivity/Cloud</t>
        </is>
      </c>
      <c r="H429" s="204" t="inlineStr">
        <is>
          <t>MEDIUM</t>
        </is>
      </c>
      <c r="I429" s="204" t="inlineStr">
        <is>
          <t>REVIEW</t>
        </is>
      </c>
    </row>
    <row r="430">
      <c r="B430" s="235" t="n">
        <v>11</v>
      </c>
      <c r="C430" s="243" t="inlineStr">
        <is>
          <t>TuneIn Radio</t>
        </is>
      </c>
      <c r="D430" s="243" t="inlineStr">
        <is>
          <t>TuneIn Premium</t>
        </is>
      </c>
      <c r="E430" s="234" t="n">
        <v>31.9</v>
      </c>
      <c r="F430" s="234" t="n">
        <v>382.8</v>
      </c>
      <c r="G430" s="243" t="inlineStr">
        <is>
          <t>Entertainment</t>
        </is>
      </c>
      <c r="H430" s="233" t="inlineStr">
        <is>
          <t>LOW</t>
        </is>
      </c>
      <c r="I430" s="210" t="inlineStr">
        <is>
          <t>CANCEL</t>
        </is>
      </c>
    </row>
    <row r="431">
      <c r="B431" s="240" t="n">
        <v>12</v>
      </c>
      <c r="C431" s="247" t="inlineStr">
        <is>
          <t>NordVPN</t>
        </is>
      </c>
      <c r="D431" s="247" t="inlineStr">
        <is>
          <t>Auto-renewable Subscription</t>
        </is>
      </c>
      <c r="E431" s="242" t="n">
        <v>28.325</v>
      </c>
      <c r="F431" s="242" t="n">
        <v>339.9</v>
      </c>
      <c r="G431" s="247" t="inlineStr">
        <is>
          <t>Security/VPN</t>
        </is>
      </c>
      <c r="H431" s="238" t="inlineStr">
        <is>
          <t>LOW</t>
        </is>
      </c>
      <c r="I431" s="204" t="inlineStr">
        <is>
          <t>REVIEW</t>
        </is>
      </c>
    </row>
    <row r="432">
      <c r="B432" s="235" t="n">
        <v>13</v>
      </c>
      <c r="C432" s="243" t="inlineStr">
        <is>
          <t>iCloud+</t>
        </is>
      </c>
      <c r="D432" s="243" t="inlineStr">
        <is>
          <t>200 GB storage</t>
        </is>
      </c>
      <c r="E432" s="236" t="n">
        <v>19.9</v>
      </c>
      <c r="F432" s="236" t="n">
        <v>238.8</v>
      </c>
      <c r="G432" s="243" t="inlineStr">
        <is>
          <t>Cloud/Storage</t>
        </is>
      </c>
      <c r="H432" s="233" t="inlineStr">
        <is>
          <t>LOW</t>
        </is>
      </c>
      <c r="I432" s="206" t="inlineStr">
        <is>
          <t>KEEP</t>
        </is>
      </c>
    </row>
    <row r="433">
      <c r="B433" s="240" t="n">
        <v>14</v>
      </c>
      <c r="C433" s="247" t="inlineStr">
        <is>
          <t>Filmora9</t>
        </is>
      </c>
      <c r="D433" s="247" t="inlineStr">
        <is>
          <t>Annual Subscription</t>
        </is>
      </c>
      <c r="E433" s="242" t="n">
        <v>15.40833333333333</v>
      </c>
      <c r="F433" s="242" t="n">
        <v>184.8999999999999</v>
      </c>
      <c r="G433" s="247" t="inlineStr">
        <is>
          <t>Creative/Productivity</t>
        </is>
      </c>
      <c r="H433" s="238" t="inlineStr">
        <is>
          <t>LOW</t>
        </is>
      </c>
      <c r="I433" s="204" t="inlineStr">
        <is>
          <t>REVIEW</t>
        </is>
      </c>
    </row>
    <row r="434">
      <c r="B434" s="235" t="n">
        <v>15</v>
      </c>
      <c r="C434" s="243" t="inlineStr">
        <is>
          <t>Manus</t>
        </is>
      </c>
      <c r="D434" s="243" t="inlineStr">
        <is>
          <t>Unknown / credits</t>
        </is>
      </c>
      <c r="E434" s="237" t="n">
        <v>0</v>
      </c>
      <c r="F434" s="237" t="n">
        <v>0</v>
      </c>
      <c r="G434" s="243" t="inlineStr">
        <is>
          <t>AI - Agent/Credits</t>
        </is>
      </c>
      <c r="H434" s="233" t="inlineStr">
        <is>
          <t>UNKNOWN</t>
        </is>
      </c>
      <c r="I434" s="215" t="inlineStr">
        <is>
          <t>REVIEW</t>
        </is>
      </c>
    </row>
    <row r="437" ht="16" customHeight="1">
      <c r="B437" s="194" t="inlineStr">
        <is>
          <t>5D · TOP 15 PIX MOVEMENTS BY AMOUNT</t>
        </is>
      </c>
      <c r="C437" s="107" t="n"/>
      <c r="D437" s="107" t="n"/>
      <c r="E437" s="107" t="n"/>
      <c r="F437" s="107" t="n"/>
      <c r="G437" s="107" t="n"/>
      <c r="H437" s="107" t="n"/>
      <c r="I437" s="107" t="n"/>
      <c r="J437" s="108" t="n"/>
    </row>
    <row r="438">
      <c r="B438" s="232" t="inlineStr">
        <is>
          <t>Rank</t>
        </is>
      </c>
      <c r="C438" s="232" t="inlineStr">
        <is>
          <t>Date</t>
        </is>
      </c>
      <c r="D438" s="232" t="inlineStr">
        <is>
          <t>Type</t>
        </is>
      </c>
      <c r="E438" s="232" t="inlineStr">
        <is>
          <t>Description</t>
        </is>
      </c>
      <c r="F438" s="232" t="inlineStr">
        <is>
          <t>Amount</t>
        </is>
      </c>
    </row>
    <row r="439">
      <c r="B439" s="235" t="n">
        <v>1</v>
      </c>
      <c r="C439" s="233" t="inlineStr">
        <is>
          <t>2026-05-11</t>
        </is>
      </c>
      <c r="D439" s="215" t="inlineStr">
        <is>
          <t>Câmbio</t>
        </is>
      </c>
      <c r="E439" s="243" t="inlineStr">
        <is>
          <t>Envio - remessa internacional</t>
        </is>
      </c>
      <c r="F439" s="237" t="n">
        <v>74340.39999999999</v>
      </c>
    </row>
    <row r="440">
      <c r="B440" s="240" t="n">
        <v>2</v>
      </c>
      <c r="C440" s="238" t="inlineStr">
        <is>
          <t>2026-05-22</t>
        </is>
      </c>
      <c r="D440" s="214" t="inlineStr">
        <is>
          <t>PIX Out</t>
        </is>
      </c>
      <c r="E440" s="247" t="inlineStr">
        <is>
          <t>Sbct Tech Solutions Llc</t>
        </is>
      </c>
      <c r="F440" s="239" t="n">
        <v>45000</v>
      </c>
    </row>
    <row r="441">
      <c r="B441" s="235" t="n">
        <v>3</v>
      </c>
      <c r="C441" s="233" t="inlineStr">
        <is>
          <t>2026-06-28</t>
        </is>
      </c>
      <c r="D441" s="206" t="inlineStr">
        <is>
          <t>PIX In</t>
        </is>
      </c>
      <c r="E441" s="243" t="inlineStr">
        <is>
          <t>Eduardo F Giovannini</t>
        </is>
      </c>
      <c r="F441" s="236" t="n">
        <v>40000</v>
      </c>
    </row>
    <row r="442">
      <c r="B442" s="240" t="n">
        <v>4</v>
      </c>
      <c r="C442" s="238" t="inlineStr">
        <is>
          <t>2026-05-11</t>
        </is>
      </c>
      <c r="D442" s="208" t="inlineStr">
        <is>
          <t>PIX In</t>
        </is>
      </c>
      <c r="E442" s="247" t="inlineStr">
        <is>
          <t>Eduardo F Giovannini</t>
        </is>
      </c>
      <c r="F442" s="241" t="n">
        <v>40000</v>
      </c>
    </row>
    <row r="443">
      <c r="B443" s="235" t="n">
        <v>5</v>
      </c>
      <c r="C443" s="233" t="inlineStr">
        <is>
          <t>2026-05-08</t>
        </is>
      </c>
      <c r="D443" s="206" t="inlineStr">
        <is>
          <t>PIX In</t>
        </is>
      </c>
      <c r="E443" s="243" t="inlineStr">
        <is>
          <t>Eduardo F Giovannini</t>
        </is>
      </c>
      <c r="F443" s="236" t="n">
        <v>40000</v>
      </c>
    </row>
    <row r="444">
      <c r="B444" s="240" t="n">
        <v>6</v>
      </c>
      <c r="C444" s="238" t="inlineStr">
        <is>
          <t>2026-04-28</t>
        </is>
      </c>
      <c r="D444" s="208" t="inlineStr">
        <is>
          <t>PIX In</t>
        </is>
      </c>
      <c r="E444" s="247" t="inlineStr">
        <is>
          <t>Eduardo F Giovannini</t>
        </is>
      </c>
      <c r="F444" s="241" t="n">
        <v>40000</v>
      </c>
    </row>
    <row r="445">
      <c r="B445" s="235" t="n">
        <v>7</v>
      </c>
      <c r="C445" s="233" t="inlineStr">
        <is>
          <t>2026-02-11</t>
        </is>
      </c>
      <c r="D445" s="206" t="inlineStr">
        <is>
          <t>PIX In</t>
        </is>
      </c>
      <c r="E445" s="243" t="inlineStr">
        <is>
          <t>Eduardo F Giovannini</t>
        </is>
      </c>
      <c r="F445" s="236" t="n">
        <v>40000</v>
      </c>
    </row>
    <row r="446">
      <c r="B446" s="240" t="n">
        <v>8</v>
      </c>
      <c r="C446" s="238" t="inlineStr">
        <is>
          <t>2026-05-18</t>
        </is>
      </c>
      <c r="D446" s="208" t="inlineStr">
        <is>
          <t>PIX In</t>
        </is>
      </c>
      <c r="E446" s="247" t="inlineStr">
        <is>
          <t>Eduardo F Giovannini</t>
        </is>
      </c>
      <c r="F446" s="241" t="n">
        <v>35000</v>
      </c>
    </row>
    <row r="447">
      <c r="B447" s="235" t="n">
        <v>9</v>
      </c>
      <c r="C447" s="233" t="inlineStr">
        <is>
          <t>2026-05-07</t>
        </is>
      </c>
      <c r="D447" s="215" t="inlineStr">
        <is>
          <t>Câmbio</t>
        </is>
      </c>
      <c r="E447" s="243" t="inlineStr">
        <is>
          <t>Envio - remessa internacional</t>
        </is>
      </c>
      <c r="F447" s="237" t="n">
        <v>24939.84</v>
      </c>
    </row>
    <row r="448">
      <c r="B448" s="240" t="n">
        <v>10</v>
      </c>
      <c r="C448" s="238" t="inlineStr">
        <is>
          <t>2026-05-18</t>
        </is>
      </c>
      <c r="D448" s="214" t="inlineStr">
        <is>
          <t>PIX Out</t>
        </is>
      </c>
      <c r="E448" s="247" t="inlineStr">
        <is>
          <t>Eduardo Giovannini</t>
        </is>
      </c>
      <c r="F448" s="239" t="n">
        <v>20000</v>
      </c>
    </row>
    <row r="449">
      <c r="B449" s="235" t="n">
        <v>11</v>
      </c>
      <c r="C449" s="233" t="inlineStr">
        <is>
          <t>2026-04-24</t>
        </is>
      </c>
      <c r="D449" s="210" t="inlineStr">
        <is>
          <t>PIX Out</t>
        </is>
      </c>
      <c r="E449" s="243" t="inlineStr">
        <is>
          <t xml:space="preserve">37202818 Jose Periclis De Sousa Da </t>
        </is>
      </c>
      <c r="F449" s="234" t="n">
        <v>6800</v>
      </c>
    </row>
    <row r="450">
      <c r="B450" s="240" t="n">
        <v>12</v>
      </c>
      <c r="C450" s="238" t="inlineStr">
        <is>
          <t>2026-03-15</t>
        </is>
      </c>
      <c r="D450" s="214" t="inlineStr">
        <is>
          <t>PIX Out</t>
        </is>
      </c>
      <c r="E450" s="247" t="inlineStr">
        <is>
          <t>Eduardo Forster Giovannini</t>
        </is>
      </c>
      <c r="F450" s="239" t="n">
        <v>6000</v>
      </c>
    </row>
    <row r="451">
      <c r="B451" s="235" t="n">
        <v>13</v>
      </c>
      <c r="C451" s="233" t="inlineStr">
        <is>
          <t>2026-03-15</t>
        </is>
      </c>
      <c r="D451" s="210" t="inlineStr">
        <is>
          <t>PIX Out</t>
        </is>
      </c>
      <c r="E451" s="243" t="inlineStr">
        <is>
          <t>Mercado Pago Instituicao De Pagamen</t>
        </is>
      </c>
      <c r="F451" s="234" t="n">
        <v>4582.41</v>
      </c>
    </row>
    <row r="452">
      <c r="B452" s="240" t="n">
        <v>14</v>
      </c>
      <c r="C452" s="238" t="inlineStr">
        <is>
          <t>2026-04-21</t>
        </is>
      </c>
      <c r="D452" s="214" t="inlineStr">
        <is>
          <t>PIX Out</t>
        </is>
      </c>
      <c r="E452" s="247" t="inlineStr">
        <is>
          <t>Eduardo Forster Giovannini</t>
        </is>
      </c>
      <c r="F452" s="239" t="n">
        <v>3000</v>
      </c>
    </row>
    <row r="453">
      <c r="B453" s="235" t="n">
        <v>15</v>
      </c>
      <c r="C453" s="233" t="inlineStr">
        <is>
          <t>2026-06-28</t>
        </is>
      </c>
      <c r="D453" s="206" t="inlineStr">
        <is>
          <t>PIX In</t>
        </is>
      </c>
      <c r="E453" s="243" t="inlineStr">
        <is>
          <t>Eduardo Forster Giovannini</t>
        </is>
      </c>
      <c r="F453" s="236" t="n">
        <v>2000</v>
      </c>
    </row>
    <row r="456" ht="16" customHeight="1">
      <c r="B456" s="194" t="inlineStr">
        <is>
          <t>5E · TOP 15 ML + iFOOD ORDERS BY VALUE</t>
        </is>
      </c>
      <c r="C456" s="107" t="n"/>
      <c r="D456" s="107" t="n"/>
      <c r="E456" s="107" t="n"/>
      <c r="F456" s="107" t="n"/>
      <c r="G456" s="107" t="n"/>
      <c r="H456" s="107" t="n"/>
      <c r="I456" s="107" t="n"/>
      <c r="J456" s="108" t="n"/>
    </row>
    <row r="457">
      <c r="B457" s="232" t="inlineStr">
        <is>
          <t>Rank</t>
        </is>
      </c>
      <c r="C457" s="232" t="inlineStr">
        <is>
          <t>Date</t>
        </is>
      </c>
      <c r="D457" s="232" t="inlineStr">
        <is>
          <t>Platform</t>
        </is>
      </c>
      <c r="E457" s="232" t="inlineStr">
        <is>
          <t>Item</t>
        </is>
      </c>
      <c r="F457" s="232" t="inlineStr">
        <is>
          <t>Value</t>
        </is>
      </c>
      <c r="G457" s="232" t="inlineStr">
        <is>
          <t>Category</t>
        </is>
      </c>
      <c r="H457" s="232" t="inlineStr">
        <is>
          <t>Status</t>
        </is>
      </c>
    </row>
    <row r="458">
      <c r="B458" s="235" t="n">
        <v>1</v>
      </c>
      <c r="C458" s="233" t="inlineStr">
        <is>
          <t>2026-02-27</t>
        </is>
      </c>
      <c r="D458" s="233" t="inlineStr">
        <is>
          <t>Mercado Livre</t>
        </is>
      </c>
      <c r="E458" s="243" t="inlineStr">
        <is>
          <t>Monitor Gamer Aoc Agon 49 Curvo 144hz</t>
        </is>
      </c>
      <c r="F458" s="184" t="n">
        <v>5999</v>
      </c>
      <c r="G458" s="243" t="inlineStr">
        <is>
          <t>Eletrônicos</t>
        </is>
      </c>
      <c r="H458" s="206" t="inlineStr">
        <is>
          <t>delivered</t>
        </is>
      </c>
    </row>
    <row r="459">
      <c r="B459" s="240" t="n">
        <v>2</v>
      </c>
      <c r="C459" s="238" t="inlineStr">
        <is>
          <t>2026-03-16</t>
        </is>
      </c>
      <c r="D459" s="238" t="inlineStr">
        <is>
          <t>Mercado Livre</t>
        </is>
      </c>
      <c r="E459" s="247" t="inlineStr">
        <is>
          <t>Cpap Portátil Resmed Airmini Automático</t>
        </is>
      </c>
      <c r="F459" s="183" t="n">
        <v>4980.91</v>
      </c>
      <c r="G459" s="247" t="inlineStr">
        <is>
          <t>Saúde/CPAP</t>
        </is>
      </c>
      <c r="H459" s="208" t="inlineStr">
        <is>
          <t>delivered</t>
        </is>
      </c>
    </row>
    <row r="460">
      <c r="B460" s="235" t="n">
        <v>3</v>
      </c>
      <c r="C460" s="233" t="inlineStr">
        <is>
          <t>2026-02-XX</t>
        </is>
      </c>
      <c r="D460" s="233" t="inlineStr">
        <is>
          <t>Mercado Livre</t>
        </is>
      </c>
      <c r="E460" s="243" t="inlineStr">
        <is>
          <t>Cpap Portátil Resmed Airmini (não entreg</t>
        </is>
      </c>
      <c r="F460" s="184" t="n">
        <v>4952.52</v>
      </c>
      <c r="G460" s="243" t="inlineStr">
        <is>
          <t>Saúde/CPAP</t>
        </is>
      </c>
      <c r="H460" s="210" t="inlineStr">
        <is>
          <t>failed</t>
        </is>
      </c>
    </row>
    <row r="461">
      <c r="B461" s="240" t="n">
        <v>4</v>
      </c>
      <c r="C461" s="238" t="inlineStr">
        <is>
          <t>2026-02-19</t>
        </is>
      </c>
      <c r="D461" s="238" t="inlineStr">
        <is>
          <t>Mercado Livre</t>
        </is>
      </c>
      <c r="E461" s="247" t="inlineStr">
        <is>
          <t>Processador De Vídeo Novastar Vc2 Painel</t>
        </is>
      </c>
      <c r="F461" s="183" t="n">
        <v>1798</v>
      </c>
      <c r="G461" s="247" t="inlineStr">
        <is>
          <t>Eletrônicos</t>
        </is>
      </c>
      <c r="H461" s="208" t="inlineStr">
        <is>
          <t>delivered</t>
        </is>
      </c>
    </row>
    <row r="462">
      <c r="B462" s="235" t="n">
        <v>5</v>
      </c>
      <c r="C462" s="233" t="inlineStr">
        <is>
          <t>2026-02-18</t>
        </is>
      </c>
      <c r="D462" s="233" t="inlineStr">
        <is>
          <t>Mercado Livre</t>
        </is>
      </c>
      <c r="E462" s="243" t="inlineStr">
        <is>
          <t>Mouse Sem Fio Logitech Mx Master 4 Hapti</t>
        </is>
      </c>
      <c r="F462" s="184" t="n">
        <v>1590</v>
      </c>
      <c r="G462" s="243" t="inlineStr">
        <is>
          <t>Eletrônicos</t>
        </is>
      </c>
      <c r="H462" s="206" t="inlineStr">
        <is>
          <t>delivered</t>
        </is>
      </c>
    </row>
    <row r="463">
      <c r="B463" s="240" t="n">
        <v>6</v>
      </c>
      <c r="C463" s="238" t="inlineStr">
        <is>
          <t>2026-02-21</t>
        </is>
      </c>
      <c r="D463" s="238" t="inlineStr">
        <is>
          <t>Mercado Livre</t>
        </is>
      </c>
      <c r="E463" s="247" t="inlineStr">
        <is>
          <t>Escova De Dente Elétrica Oral B Io Serie</t>
        </is>
      </c>
      <c r="F463" s="183" t="n">
        <v>1200.05</v>
      </c>
      <c r="G463" s="247" t="inlineStr">
        <is>
          <t>Saúde/Higiene</t>
        </is>
      </c>
      <c r="H463" s="208" t="inlineStr">
        <is>
          <t>delivered</t>
        </is>
      </c>
    </row>
    <row r="464">
      <c r="B464" s="235" t="n">
        <v>7</v>
      </c>
      <c r="C464" s="233" t="inlineStr">
        <is>
          <t>2026-03-12</t>
        </is>
      </c>
      <c r="D464" s="233" t="inlineStr">
        <is>
          <t>Mercado Livre</t>
        </is>
      </c>
      <c r="E464" s="243" t="inlineStr">
        <is>
          <t>Tênis Hoka Mach 6 Masculino Azul Jeans</t>
        </is>
      </c>
      <c r="F464" s="184" t="n">
        <v>1009.78</v>
      </c>
      <c r="G464" s="243" t="inlineStr">
        <is>
          <t>Vestuário</t>
        </is>
      </c>
      <c r="H464" s="206" t="inlineStr">
        <is>
          <t>delivered</t>
        </is>
      </c>
    </row>
    <row r="465">
      <c r="B465" s="240" t="n">
        <v>8</v>
      </c>
      <c r="C465" s="238" t="inlineStr">
        <is>
          <t>2026-03-29</t>
        </is>
      </c>
      <c r="D465" s="238" t="inlineStr">
        <is>
          <t>Mercado Livre</t>
        </is>
      </c>
      <c r="E465" s="247" t="inlineStr">
        <is>
          <t>Lavadora De Alta Pressão Wap Premier 260</t>
        </is>
      </c>
      <c r="F465" s="183" t="n">
        <v>919</v>
      </c>
      <c r="G465" s="247" t="inlineStr">
        <is>
          <t>Casa</t>
        </is>
      </c>
      <c r="H465" s="208" t="inlineStr">
        <is>
          <t>delivered</t>
        </is>
      </c>
    </row>
    <row r="466">
      <c r="B466" s="235" t="n">
        <v>9</v>
      </c>
      <c r="C466" s="233" t="inlineStr">
        <is>
          <t>2026-03-XX</t>
        </is>
      </c>
      <c r="D466" s="233" t="inlineStr">
        <is>
          <t>Mercado Livre</t>
        </is>
      </c>
      <c r="E466" s="243" t="inlineStr">
        <is>
          <t>4 produtos Mercado Livre</t>
        </is>
      </c>
      <c r="F466" s="184" t="n">
        <v>824.5</v>
      </c>
      <c r="G466" s="243" t="inlineStr">
        <is>
          <t>Cancelado</t>
        </is>
      </c>
      <c r="H466" s="215" t="inlineStr">
        <is>
          <t>cancelled</t>
        </is>
      </c>
    </row>
    <row r="467">
      <c r="B467" s="240" t="n">
        <v>10</v>
      </c>
      <c r="C467" s="238" t="inlineStr">
        <is>
          <t>2026-03-23</t>
        </is>
      </c>
      <c r="D467" s="238" t="inlineStr">
        <is>
          <t>Mercado Livre</t>
        </is>
      </c>
      <c r="E467" s="247" t="inlineStr">
        <is>
          <t>Máquina De Gelo Turbo Ice Premium Mondia</t>
        </is>
      </c>
      <c r="F467" s="183" t="n">
        <v>699.9</v>
      </c>
      <c r="G467" s="247" t="inlineStr">
        <is>
          <t>Eletrodomésticos</t>
        </is>
      </c>
      <c r="H467" s="208" t="inlineStr">
        <is>
          <t>delivered</t>
        </is>
      </c>
    </row>
    <row r="468">
      <c r="B468" s="235" t="n">
        <v>11</v>
      </c>
      <c r="C468" s="233" t="inlineStr">
        <is>
          <t>2026-03-12</t>
        </is>
      </c>
      <c r="D468" s="233" t="inlineStr">
        <is>
          <t>Mercado Livre</t>
        </is>
      </c>
      <c r="E468" s="243" t="inlineStr">
        <is>
          <t>Chinelo Hoka One One Ora Athletic Slide</t>
        </is>
      </c>
      <c r="F468" s="184" t="n">
        <v>599.9</v>
      </c>
      <c r="G468" s="243" t="inlineStr">
        <is>
          <t>Vestuário</t>
        </is>
      </c>
      <c r="H468" s="206" t="inlineStr">
        <is>
          <t>delivered</t>
        </is>
      </c>
    </row>
    <row r="469">
      <c r="B469" s="240" t="n">
        <v>12</v>
      </c>
      <c r="C469" s="238" t="inlineStr">
        <is>
          <t>2026-03-10</t>
        </is>
      </c>
      <c r="D469" s="238" t="inlineStr">
        <is>
          <t>Mercado Livre</t>
        </is>
      </c>
      <c r="E469" s="247" t="inlineStr">
        <is>
          <t>Lanterna De Mergulho F9 Inton Alto Desem</t>
        </is>
      </c>
      <c r="F469" s="183" t="n">
        <v>558.72</v>
      </c>
      <c r="G469" s="247" t="inlineStr">
        <is>
          <t>Esportes</t>
        </is>
      </c>
      <c r="H469" s="208" t="inlineStr">
        <is>
          <t>delivered</t>
        </is>
      </c>
    </row>
    <row r="470">
      <c r="B470" s="235" t="n">
        <v>13</v>
      </c>
      <c r="C470" s="233" t="inlineStr">
        <is>
          <t>2026-02-17</t>
        </is>
      </c>
      <c r="D470" s="233" t="inlineStr">
        <is>
          <t>Mercado Livre</t>
        </is>
      </c>
      <c r="E470" s="243" t="inlineStr">
        <is>
          <t>Hoto Mini Aspirador De Pó Portátil Sem F</t>
        </is>
      </c>
      <c r="F470" s="184" t="n">
        <v>496.29</v>
      </c>
      <c r="G470" s="243" t="inlineStr">
        <is>
          <t>Casa</t>
        </is>
      </c>
      <c r="H470" s="206" t="inlineStr">
        <is>
          <t>delivered</t>
        </is>
      </c>
    </row>
    <row r="471">
      <c r="B471" s="240" t="n">
        <v>14</v>
      </c>
      <c r="C471" s="238" t="inlineStr">
        <is>
          <t>2026-02-12</t>
        </is>
      </c>
      <c r="D471" s="238" t="inlineStr">
        <is>
          <t>Mercado Livre</t>
        </is>
      </c>
      <c r="E471" s="247" t="inlineStr">
        <is>
          <t>Máscara Nasal Airfit P30i P M G Resmed</t>
        </is>
      </c>
      <c r="F471" s="183" t="n">
        <v>482.55</v>
      </c>
      <c r="G471" s="247" t="inlineStr">
        <is>
          <t>Saúde/CPAP</t>
        </is>
      </c>
      <c r="H471" s="208" t="inlineStr">
        <is>
          <t>delivered</t>
        </is>
      </c>
    </row>
    <row r="472">
      <c r="B472" s="235" t="n">
        <v>15</v>
      </c>
      <c r="C472" s="233" t="inlineStr">
        <is>
          <t>2026-06-03</t>
        </is>
      </c>
      <c r="D472" s="233" t="inlineStr">
        <is>
          <t>Mercado Livre</t>
        </is>
      </c>
      <c r="E472" s="243" t="inlineStr">
        <is>
          <t>Máscara Nasal Resmed Airfit N30i Apneia</t>
        </is>
      </c>
      <c r="F472" s="184" t="n">
        <v>480</v>
      </c>
      <c r="G472" s="243" t="inlineStr">
        <is>
          <t>Saúde/CPAP</t>
        </is>
      </c>
      <c r="H472" s="206" t="inlineStr">
        <is>
          <t>delivered</t>
        </is>
      </c>
    </row>
    <row r="475" ht="16" customHeight="1">
      <c r="B475" s="194" t="inlineStr">
        <is>
          <t>STEP 5 REFERENCE — cell ranges for charts and dashboard</t>
        </is>
      </c>
      <c r="C475" s="107" t="n"/>
      <c r="D475" s="107" t="n"/>
      <c r="E475" s="107" t="n"/>
      <c r="F475" s="107" t="n"/>
      <c r="G475" s="107" t="n"/>
      <c r="H475" s="107" t="n"/>
      <c r="I475" s="107" t="n"/>
      <c r="J475" s="107" t="n"/>
      <c r="K475" s="108" t="n"/>
    </row>
    <row r="476">
      <c r="B476" s="231" t="inlineStr">
        <is>
          <t>5A Merchants:  B377:H396  — col E=spend, col D=category, col H=pct</t>
        </is>
      </c>
    </row>
    <row r="477">
      <c r="B477" s="231" t="inlineStr">
        <is>
          <t>5B FX Ops:     B401:I415  — col F=BRL, col D=institution, col H=direction</t>
        </is>
      </c>
    </row>
    <row r="478">
      <c r="B478" s="231" t="inlineStr">
        <is>
          <t>5C Subs:       B420:I434  — col E=monthly, col I=decision filter</t>
        </is>
      </c>
    </row>
    <row r="479">
      <c r="B479" s="231" t="inlineStr">
        <is>
          <t>5D PIX:        B439:F453  — col F=amount, col D=type</t>
        </is>
      </c>
    </row>
    <row r="480">
      <c r="B480" s="231" t="inlineStr">
        <is>
          <t>5E ML/iFood:   B458:H472  — col F=value, col G=category</t>
        </is>
      </c>
    </row>
    <row r="483" ht="16" customHeight="1">
      <c r="B483" s="194" t="inlineStr">
        <is>
          <t>STEP 6 · ICON SET CF PREP — MoM signals, KPI health, subscription risk flags</t>
        </is>
      </c>
      <c r="C483" s="107" t="n"/>
      <c r="D483" s="107" t="n"/>
      <c r="E483" s="107" t="n"/>
      <c r="F483" s="107" t="n"/>
      <c r="G483" s="107" t="n"/>
      <c r="H483" s="107" t="n"/>
      <c r="I483" s="107" t="n"/>
      <c r="J483" s="107" t="n"/>
      <c r="K483" s="108" t="n"/>
    </row>
    <row r="484">
      <c r="B484" s="252" t="inlineStr">
        <is>
          <t>Pattern: duplicate the MoM% cell → one shows % text, one shows icon only. CF rule: &gt;=0 → green ▲, &lt;0 → red ▼.</t>
        </is>
      </c>
    </row>
    <row r="486" ht="16" customHeight="1">
      <c r="B486" s="194" t="inlineStr">
        <is>
          <t>6A · MoM SIGNAL TABLE — icon (col C) + text (col D) pairs</t>
        </is>
      </c>
      <c r="C486" s="107" t="n"/>
      <c r="D486" s="107" t="n"/>
      <c r="E486" s="107" t="n"/>
      <c r="F486" s="107" t="n"/>
      <c r="G486" s="107" t="n"/>
      <c r="H486" s="107" t="n"/>
      <c r="I486" s="107" t="n"/>
      <c r="J486" s="108" t="n"/>
    </row>
    <row r="487">
      <c r="B487" s="232" t="inlineStr">
        <is>
          <t>Metric</t>
        </is>
      </c>
      <c r="C487" s="232" t="inlineStr">
        <is>
          <t>Signal Icon</t>
        </is>
      </c>
      <c r="D487" s="232" t="inlineStr">
        <is>
          <t>MoM % Text</t>
        </is>
      </c>
      <c r="E487" s="232" t="inlineStr">
        <is>
          <t>Value</t>
        </is>
      </c>
      <c r="F487" s="232" t="inlineStr">
        <is>
          <t>Inverted?</t>
        </is>
      </c>
    </row>
    <row r="488">
      <c r="B488" s="243" t="inlineStr">
        <is>
          <t>Card Spend</t>
        </is>
      </c>
      <c r="C488" s="206" t="inlineStr">
        <is>
          <t>▲</t>
        </is>
      </c>
      <c r="D488" s="228" t="inlineStr">
        <is>
          <t>-66.3%</t>
        </is>
      </c>
      <c r="E488" s="227" t="n">
        <v>-0.6632279242408671</v>
      </c>
      <c r="F488" s="215" t="inlineStr">
        <is>
          <t>YES</t>
        </is>
      </c>
      <c r="G488" s="243" t="inlineStr">
        <is>
          <t>Down=good: spending less</t>
        </is>
      </c>
    </row>
    <row r="489">
      <c r="B489" s="247" t="inlineStr">
        <is>
          <t>PIX In</t>
        </is>
      </c>
      <c r="C489" s="214" t="inlineStr">
        <is>
          <t>▼</t>
        </is>
      </c>
      <c r="D489" s="224" t="inlineStr">
        <is>
          <t>-63.5%</t>
        </is>
      </c>
      <c r="E489" s="223" t="n">
        <v>-0.634695652173913</v>
      </c>
      <c r="F489" s="238" t="inlineStr">
        <is>
          <t>NO</t>
        </is>
      </c>
      <c r="G489" s="247" t="inlineStr">
        <is>
          <t>Up=good: more cash in</t>
        </is>
      </c>
    </row>
    <row r="490">
      <c r="B490" s="243" t="inlineStr">
        <is>
          <t>PIX Out</t>
        </is>
      </c>
      <c r="C490" s="206" t="inlineStr">
        <is>
          <t>▲</t>
        </is>
      </c>
      <c r="D490" s="228" t="inlineStr">
        <is>
          <t>-99.3%</t>
        </is>
      </c>
      <c r="E490" s="227" t="n">
        <v>-0.9931350084961421</v>
      </c>
      <c r="F490" s="215" t="inlineStr">
        <is>
          <t>YES</t>
        </is>
      </c>
      <c r="G490" s="243" t="inlineStr">
        <is>
          <t>Down=good: less outflow</t>
        </is>
      </c>
    </row>
    <row r="491">
      <c r="B491" s="247" t="inlineStr">
        <is>
          <t>FX Outbound</t>
        </is>
      </c>
      <c r="C491" s="214" t="inlineStr">
        <is>
          <t>▼</t>
        </is>
      </c>
      <c r="D491" s="224" t="inlineStr">
        <is>
          <t>+11.6%</t>
        </is>
      </c>
      <c r="E491" s="223" t="n">
        <v>0.1161432460602457</v>
      </c>
      <c r="F491" s="204" t="inlineStr">
        <is>
          <t>YES</t>
        </is>
      </c>
      <c r="G491" s="247" t="inlineStr">
        <is>
          <t>Down=good: less capital flight</t>
        </is>
      </c>
    </row>
    <row r="492">
      <c r="B492" s="243" t="inlineStr">
        <is>
          <t>FX Inbound</t>
        </is>
      </c>
      <c r="C492" s="206" t="inlineStr">
        <is>
          <t>▲</t>
        </is>
      </c>
      <c r="D492" s="228" t="inlineStr">
        <is>
          <t>+0.0%</t>
        </is>
      </c>
      <c r="E492" s="227" t="n">
        <v>0</v>
      </c>
      <c r="F492" s="233" t="inlineStr">
        <is>
          <t>NO</t>
        </is>
      </c>
      <c r="G492" s="243" t="inlineStr">
        <is>
          <t>Up=good: more repatriation</t>
        </is>
      </c>
    </row>
    <row r="493">
      <c r="B493" s="247" t="inlineStr">
        <is>
          <t>Sub Stack</t>
        </is>
      </c>
      <c r="C493" s="208" t="inlineStr">
        <is>
          <t>▲</t>
        </is>
      </c>
      <c r="D493" s="226" t="inlineStr">
        <is>
          <t>+0.0%</t>
        </is>
      </c>
      <c r="E493" s="225" t="n">
        <v>0</v>
      </c>
      <c r="F493" s="204" t="inlineStr">
        <is>
          <t>YES</t>
        </is>
      </c>
      <c r="G493" s="247" t="inlineStr">
        <is>
          <t>Down=good: cancel working</t>
        </is>
      </c>
    </row>
    <row r="494">
      <c r="B494" s="243" t="inlineStr">
        <is>
          <t>Net Worth</t>
        </is>
      </c>
      <c r="C494" s="206" t="inlineStr">
        <is>
          <t>▲</t>
        </is>
      </c>
      <c r="D494" s="228" t="inlineStr">
        <is>
          <t>+2.4%</t>
        </is>
      </c>
      <c r="E494" s="227" t="n">
        <v>0.02365051428571427</v>
      </c>
      <c r="F494" s="233" t="inlineStr">
        <is>
          <t>NO</t>
        </is>
      </c>
      <c r="G494" s="243" t="inlineStr">
        <is>
          <t>Up=good: wealth growing</t>
        </is>
      </c>
    </row>
    <row r="497" ht="16" customHeight="1">
      <c r="B497" s="194" t="inlineStr">
        <is>
          <t>6B · KPI HEALTH SCORES — threshold-based traffic light</t>
        </is>
      </c>
      <c r="C497" s="107" t="n"/>
      <c r="D497" s="107" t="n"/>
      <c r="E497" s="107" t="n"/>
      <c r="F497" s="107" t="n"/>
      <c r="G497" s="107" t="n"/>
      <c r="H497" s="107" t="n"/>
      <c r="I497" s="107" t="n"/>
      <c r="J497" s="108" t="n"/>
    </row>
    <row r="498">
      <c r="B498" s="232" t="inlineStr">
        <is>
          <t>KPI</t>
        </is>
      </c>
      <c r="C498" s="232" t="inlineStr">
        <is>
          <t>Current</t>
        </is>
      </c>
      <c r="D498" s="232" t="inlineStr">
        <is>
          <t>Target</t>
        </is>
      </c>
      <c r="E498" s="232" t="inlineStr">
        <is>
          <t>vs Target</t>
        </is>
      </c>
      <c r="F498" s="232" t="inlineStr">
        <is>
          <t>Health</t>
        </is>
      </c>
      <c r="G498" s="232" t="inlineStr">
        <is>
          <t>Color</t>
        </is>
      </c>
    </row>
    <row r="499">
      <c r="B499" s="243" t="inlineStr">
        <is>
          <t>Liquidity Buffer</t>
        </is>
      </c>
      <c r="C499" s="234" t="n">
        <v>23196.9</v>
      </c>
      <c r="D499" s="219" t="n">
        <v>30000</v>
      </c>
      <c r="E499" s="220" t="n">
        <v>-0.2267699999999999</v>
      </c>
      <c r="F499" s="210" t="inlineStr">
        <is>
          <t>RED ❌</t>
        </is>
      </c>
      <c r="G499" s="243" t="inlineStr">
        <is>
          <t>Higher is better</t>
        </is>
      </c>
    </row>
    <row r="500">
      <c r="B500" s="247" t="inlineStr">
        <is>
          <t>Cancel Savings/yr</t>
        </is>
      </c>
      <c r="C500" s="241" t="n">
        <v>-4389.6</v>
      </c>
      <c r="D500" s="222" t="n">
        <v>-4389</v>
      </c>
      <c r="E500" s="225" t="n">
        <v>0.0001367053998633775</v>
      </c>
      <c r="F500" s="208" t="inlineStr">
        <is>
          <t>GREEN ✅</t>
        </is>
      </c>
      <c r="G500" s="247" t="inlineStr">
        <is>
          <t>Lower is better</t>
        </is>
      </c>
    </row>
    <row r="501">
      <c r="B501" s="243" t="inlineStr">
        <is>
          <t>Card Spend Avg/mo</t>
        </is>
      </c>
      <c r="C501" s="234" t="n">
        <v>6207.63</v>
      </c>
      <c r="D501" s="219" t="n">
        <v>5000</v>
      </c>
      <c r="E501" s="220" t="n">
        <v>0.241526</v>
      </c>
      <c r="F501" s="210" t="inlineStr">
        <is>
          <t>RED ❌</t>
        </is>
      </c>
      <c r="G501" s="243" t="inlineStr">
        <is>
          <t>Lower is better</t>
        </is>
      </c>
    </row>
    <row r="502">
      <c r="B502" s="247" t="inlineStr">
        <is>
          <t>Sub Stack/mo</t>
        </is>
      </c>
      <c r="C502" s="239" t="n">
        <v>1247</v>
      </c>
      <c r="D502" s="222" t="n">
        <v>1000</v>
      </c>
      <c r="E502" s="223" t="n">
        <v>0.247</v>
      </c>
      <c r="F502" s="214" t="inlineStr">
        <is>
          <t>RED ❌</t>
        </is>
      </c>
      <c r="G502" s="247" t="inlineStr">
        <is>
          <t>Lower is better</t>
        </is>
      </c>
    </row>
    <row r="503">
      <c r="B503" s="243" t="inlineStr">
        <is>
          <t>Avg FX Rate</t>
        </is>
      </c>
      <c r="C503" s="262" t="n">
        <v>5.18</v>
      </c>
      <c r="D503" s="263" t="n">
        <v>5</v>
      </c>
      <c r="E503" s="227" t="n">
        <v>0.03599999999999994</v>
      </c>
      <c r="F503" s="206" t="inlineStr">
        <is>
          <t>GREEN ✅</t>
        </is>
      </c>
      <c r="G503" s="243" t="inlineStr">
        <is>
          <t>Higher is better</t>
        </is>
      </c>
    </row>
    <row r="504">
      <c r="B504" s="247" t="inlineStr">
        <is>
          <t>IB Net/Total Liq</t>
        </is>
      </c>
      <c r="C504" s="168" t="n">
        <v>0.9352</v>
      </c>
      <c r="D504" s="164" t="n">
        <v>0.8</v>
      </c>
      <c r="E504" s="225" t="n">
        <v>0.169</v>
      </c>
      <c r="F504" s="208" t="inlineStr">
        <is>
          <t>GREEN ✅</t>
        </is>
      </c>
      <c r="G504" s="247" t="inlineStr">
        <is>
          <t>Higher is better</t>
        </is>
      </c>
    </row>
    <row r="505">
      <c r="B505" s="243" t="inlineStr">
        <is>
          <t>FX Outbound H1</t>
        </is>
      </c>
      <c r="C505" s="234" t="n">
        <v>652789</v>
      </c>
      <c r="D505" s="219" t="n">
        <v>500000</v>
      </c>
      <c r="E505" s="220" t="n">
        <v>0.305578</v>
      </c>
      <c r="F505" s="210" t="inlineStr">
        <is>
          <t>RED ❌</t>
        </is>
      </c>
      <c r="G505" s="243" t="inlineStr">
        <is>
          <t>Lower is better</t>
        </is>
      </c>
    </row>
    <row r="508" ht="16" customHeight="1">
      <c r="B508" s="194" t="inlineStr">
        <is>
          <t>STEP 7 · BUBBLE CHART DATA — Institution comparison (X, Y, Size, Label, HighlightSize)</t>
        </is>
      </c>
      <c r="C508" s="107" t="n"/>
      <c r="D508" s="107" t="n"/>
      <c r="E508" s="107" t="n"/>
      <c r="F508" s="107" t="n"/>
      <c r="G508" s="107" t="n"/>
      <c r="H508" s="107" t="n"/>
      <c r="I508" s="107" t="n"/>
      <c r="J508" s="107" t="n"/>
      <c r="K508" s="108" t="n"/>
    </row>
    <row r="509">
      <c r="B509" s="252" t="inlineStr">
        <is>
          <t>Select one institution via Data Validation dropdown. HighlightSize = Size only when selected, else 0. Chart: add 2 series — gray (all) + blue (selected).</t>
        </is>
      </c>
    </row>
    <row r="511" ht="16" customHeight="1">
      <c r="B511" s="194" t="inlineStr">
        <is>
          <t>7A · INSTITUTION BUBBLE DATA</t>
        </is>
      </c>
      <c r="C511" s="107" t="n"/>
      <c r="D511" s="107" t="n"/>
      <c r="E511" s="107" t="n"/>
      <c r="F511" s="107" t="n"/>
      <c r="G511" s="107" t="n"/>
      <c r="H511" s="107" t="n"/>
      <c r="I511" s="107" t="n"/>
      <c r="J511" s="108" t="n"/>
    </row>
    <row r="512">
      <c r="B512" s="232" t="inlineStr">
        <is>
          <t>Institution</t>
        </is>
      </c>
      <c r="C512" s="232" t="inlineStr">
        <is>
          <t>X</t>
        </is>
      </c>
      <c r="D512" s="232" t="inlineStr">
        <is>
          <t>Y</t>
        </is>
      </c>
      <c r="E512" s="232" t="inlineStr">
        <is>
          <t>Size (Total BRL)</t>
        </is>
      </c>
      <c r="F512" s="232" t="inlineStr">
        <is>
          <t>Out BRL</t>
        </is>
      </c>
      <c r="G512" s="232" t="inlineStr">
        <is>
          <t>In BRL</t>
        </is>
      </c>
      <c r="H512" s="232" t="inlineStr">
        <is>
          <t>Label</t>
        </is>
      </c>
      <c r="I512" s="232" t="inlineStr">
        <is>
          <t>HighlightSize</t>
        </is>
      </c>
    </row>
    <row r="513">
      <c r="B513" s="243" t="inlineStr">
        <is>
          <t>BB Brasil</t>
        </is>
      </c>
      <c r="C513" s="264" t="n">
        <v>1</v>
      </c>
      <c r="D513" s="264" t="n">
        <v>2</v>
      </c>
      <c r="E513" s="265" t="n">
        <v>538162.63</v>
      </c>
      <c r="F513" s="266" t="n">
        <v>464305.63</v>
      </c>
      <c r="G513" s="267" t="n">
        <v>73857</v>
      </c>
      <c r="H513" s="198" t="inlineStr">
        <is>
          <t>BB Brasil</t>
        </is>
      </c>
      <c r="I513" s="268" t="n">
        <v>538162.63</v>
      </c>
    </row>
    <row r="514">
      <c r="B514" s="247" t="inlineStr">
        <is>
          <t>Banco Topázio</t>
        </is>
      </c>
      <c r="C514" s="269" t="n">
        <v>2</v>
      </c>
      <c r="D514" s="269" t="n">
        <v>2</v>
      </c>
      <c r="E514" s="270" t="n">
        <v>315879.73</v>
      </c>
      <c r="F514" s="271" t="n">
        <v>0</v>
      </c>
      <c r="G514" s="272" t="n">
        <v>315879.73</v>
      </c>
      <c r="H514" s="201" t="inlineStr">
        <is>
          <t>Banco Topázio</t>
        </is>
      </c>
      <c r="I514" s="273" t="n">
        <v>0</v>
      </c>
    </row>
    <row r="515">
      <c r="B515" s="243" t="inlineStr">
        <is>
          <t>Wise Brasil</t>
        </is>
      </c>
      <c r="C515" s="264" t="n">
        <v>1</v>
      </c>
      <c r="D515" s="264" t="n">
        <v>1</v>
      </c>
      <c r="E515" s="265" t="n">
        <v>146795.41</v>
      </c>
      <c r="F515" s="266" t="n">
        <v>89202.73999999999</v>
      </c>
      <c r="G515" s="267" t="n">
        <v>57592.67</v>
      </c>
      <c r="H515" s="198" t="inlineStr">
        <is>
          <t>Wise Brasil</t>
        </is>
      </c>
      <c r="I515" s="268" t="n">
        <v>0</v>
      </c>
    </row>
    <row r="516">
      <c r="B516" s="247" t="inlineStr">
        <is>
          <t>Banco Inter</t>
        </is>
      </c>
      <c r="C516" s="269" t="n">
        <v>2</v>
      </c>
      <c r="D516" s="269" t="n">
        <v>1</v>
      </c>
      <c r="E516" s="270" t="n">
        <v>99280.23999999999</v>
      </c>
      <c r="F516" s="271" t="n">
        <v>99280.23999999999</v>
      </c>
      <c r="G516" s="272" t="n">
        <v>0</v>
      </c>
      <c r="H516" s="201" t="inlineStr">
        <is>
          <t>Banco Inter</t>
        </is>
      </c>
      <c r="I516" s="273" t="n">
        <v>0</v>
      </c>
    </row>
    <row r="517">
      <c r="B517" s="243" t="inlineStr">
        <is>
          <t>Ouribank</t>
        </is>
      </c>
      <c r="C517" s="264" t="n">
        <v>1.5</v>
      </c>
      <c r="D517" s="264" t="n">
        <v>1.5</v>
      </c>
      <c r="E517" s="265" t="n">
        <v>25000</v>
      </c>
      <c r="F517" s="266" t="n">
        <v>0</v>
      </c>
      <c r="G517" s="267" t="n">
        <v>25000</v>
      </c>
      <c r="H517" s="198" t="inlineStr">
        <is>
          <t>Ouribank</t>
        </is>
      </c>
      <c r="I517" s="268" t="n">
        <v>0</v>
      </c>
    </row>
    <row r="518">
      <c r="B518" s="247" t="inlineStr">
        <is>
          <t>Daycoval</t>
        </is>
      </c>
      <c r="C518" s="269" t="n">
        <v>2.5</v>
      </c>
      <c r="D518" s="269" t="n">
        <v>1</v>
      </c>
      <c r="E518" s="270" t="n">
        <v>0</v>
      </c>
      <c r="F518" s="271" t="n">
        <v>0</v>
      </c>
      <c r="G518" s="272" t="n">
        <v>0</v>
      </c>
      <c r="H518" s="201" t="inlineStr">
        <is>
          <t>Daycoval</t>
        </is>
      </c>
      <c r="I518" s="273" t="n">
        <v>0</v>
      </c>
    </row>
    <row r="521" ht="16" customHeight="1">
      <c r="B521" s="194" t="inlineStr">
        <is>
          <t>7B · CATEGORY BUBBLE DATA — card spend comparison</t>
        </is>
      </c>
      <c r="C521" s="107" t="n"/>
      <c r="D521" s="107" t="n"/>
      <c r="E521" s="107" t="n"/>
      <c r="F521" s="107" t="n"/>
      <c r="G521" s="107" t="n"/>
      <c r="H521" s="107" t="n"/>
      <c r="I521" s="107" t="n"/>
      <c r="J521" s="108" t="n"/>
    </row>
    <row r="522">
      <c r="B522" s="232" t="inlineStr">
        <is>
          <t>Category</t>
        </is>
      </c>
      <c r="C522" s="232" t="inlineStr">
        <is>
          <t>X</t>
        </is>
      </c>
      <c r="D522" s="232" t="inlineStr">
        <is>
          <t>Y</t>
        </is>
      </c>
      <c r="E522" s="232" t="inlineStr">
        <is>
          <t>Total Spend</t>
        </is>
      </c>
      <c r="F522" s="232" t="inlineStr">
        <is>
          <t>Txs</t>
        </is>
      </c>
      <c r="G522" s="232" t="inlineStr">
        <is>
          <t>Avg/Tx</t>
        </is>
      </c>
      <c r="H522" s="232" t="inlineStr">
        <is>
          <t>% Total</t>
        </is>
      </c>
      <c r="I522" s="232" t="inlineStr">
        <is>
          <t>HighlightSize</t>
        </is>
      </c>
    </row>
    <row r="523">
      <c r="B523" s="243" t="inlineStr">
        <is>
          <t>Viagem</t>
        </is>
      </c>
      <c r="C523" s="264" t="n">
        <v>1</v>
      </c>
      <c r="D523" s="264" t="n">
        <v>2</v>
      </c>
      <c r="E523" s="274" t="n">
        <v>9036.83</v>
      </c>
      <c r="F523" s="235" t="n">
        <v>1</v>
      </c>
      <c r="G523" s="275" t="n">
        <v>9036.83</v>
      </c>
      <c r="H523" s="253" t="n">
        <v>0.242627080236784</v>
      </c>
      <c r="I523" s="268" t="n">
        <v>0</v>
      </c>
    </row>
    <row r="524">
      <c r="B524" s="247" t="inlineStr">
        <is>
          <t>Compras/ML</t>
        </is>
      </c>
      <c r="C524" s="269" t="n">
        <v>2</v>
      </c>
      <c r="D524" s="269" t="n">
        <v>2</v>
      </c>
      <c r="E524" s="276" t="n">
        <v>8744.679999999998</v>
      </c>
      <c r="F524" s="240" t="n">
        <v>9</v>
      </c>
      <c r="G524" s="277" t="n">
        <v>971.631111111111</v>
      </c>
      <c r="H524" s="254" t="n">
        <v>0.2347832343869476</v>
      </c>
      <c r="I524" s="273" t="n">
        <v>0</v>
      </c>
    </row>
    <row r="525">
      <c r="B525" s="243" t="inlineStr">
        <is>
          <t>IA/Tecnologia</t>
        </is>
      </c>
      <c r="C525" s="264" t="n">
        <v>3</v>
      </c>
      <c r="D525" s="264" t="n">
        <v>2</v>
      </c>
      <c r="E525" s="266" t="n">
        <v>6624.360000000001</v>
      </c>
      <c r="F525" s="235" t="n">
        <v>37</v>
      </c>
      <c r="G525" s="275" t="n">
        <v>179.0367567567568</v>
      </c>
      <c r="H525" s="165" t="n">
        <v>0.1778554122670608</v>
      </c>
      <c r="I525" s="268" t="n">
        <v>0</v>
      </c>
    </row>
    <row r="526">
      <c r="B526" s="247" t="inlineStr">
        <is>
          <t>Loteria</t>
        </is>
      </c>
      <c r="C526" s="269" t="n">
        <v>1</v>
      </c>
      <c r="D526" s="269" t="n">
        <v>1</v>
      </c>
      <c r="E526" s="271" t="n">
        <v>6455.1</v>
      </c>
      <c r="F526" s="240" t="n">
        <v>39</v>
      </c>
      <c r="G526" s="277" t="n">
        <v>165.5153846153846</v>
      </c>
      <c r="H526" s="166" t="n">
        <v>0.1733110023798682</v>
      </c>
      <c r="I526" s="273" t="n">
        <v>6455.1</v>
      </c>
    </row>
    <row r="527">
      <c r="B527" s="243" t="inlineStr">
        <is>
          <t>Outros</t>
        </is>
      </c>
      <c r="C527" s="264" t="n">
        <v>2</v>
      </c>
      <c r="D527" s="264" t="n">
        <v>1</v>
      </c>
      <c r="E527" s="274" t="n">
        <v>2235.58</v>
      </c>
      <c r="F527" s="235" t="n">
        <v>9</v>
      </c>
      <c r="G527" s="275" t="n">
        <v>248.3977777777778</v>
      </c>
      <c r="H527" s="253" t="n">
        <v>0.06002240254998152</v>
      </c>
      <c r="I527" s="268" t="n">
        <v>0</v>
      </c>
    </row>
    <row r="528">
      <c r="B528" s="247" t="inlineStr">
        <is>
          <t>Internet</t>
        </is>
      </c>
      <c r="C528" s="269" t="n">
        <v>3</v>
      </c>
      <c r="D528" s="269" t="n">
        <v>1</v>
      </c>
      <c r="E528" s="276" t="n">
        <v>1413.12</v>
      </c>
      <c r="F528" s="240" t="n">
        <v>6</v>
      </c>
      <c r="G528" s="277" t="n">
        <v>235.52</v>
      </c>
      <c r="H528" s="254" t="n">
        <v>0.03794042597063398</v>
      </c>
      <c r="I528" s="273" t="n">
        <v>0</v>
      </c>
    </row>
    <row r="529">
      <c r="B529" s="243" t="inlineStr">
        <is>
          <t>Assinatura</t>
        </is>
      </c>
      <c r="C529" s="264" t="n">
        <v>1.5</v>
      </c>
      <c r="D529" s="264" t="n">
        <v>2.5</v>
      </c>
      <c r="E529" s="274" t="n">
        <v>1227.5</v>
      </c>
      <c r="F529" s="235" t="n">
        <v>19</v>
      </c>
      <c r="G529" s="275" t="n">
        <v>64.60526315789474</v>
      </c>
      <c r="H529" s="253" t="n">
        <v>0.03295677145532807</v>
      </c>
      <c r="I529" s="268" t="n">
        <v>0</v>
      </c>
    </row>
    <row r="530">
      <c r="B530" s="247" t="inlineStr">
        <is>
          <t>Delivery/iFood</t>
        </is>
      </c>
      <c r="C530" s="269" t="n">
        <v>2.5</v>
      </c>
      <c r="D530" s="269" t="n">
        <v>2.5</v>
      </c>
      <c r="E530" s="276" t="n">
        <v>1217.92</v>
      </c>
      <c r="F530" s="240" t="n">
        <v>14</v>
      </c>
      <c r="G530" s="277" t="n">
        <v>86.99428571428572</v>
      </c>
      <c r="H530" s="254" t="n">
        <v>0.03269956097016143</v>
      </c>
      <c r="I530" s="273" t="n">
        <v>0</v>
      </c>
    </row>
    <row r="531">
      <c r="B531" s="243" t="inlineStr">
        <is>
          <t>Transporte</t>
        </is>
      </c>
      <c r="C531" s="264" t="n">
        <v>1</v>
      </c>
      <c r="D531" s="264" t="n">
        <v>3</v>
      </c>
      <c r="E531" s="274" t="n">
        <v>205.34</v>
      </c>
      <c r="F531" s="235" t="n">
        <v>10</v>
      </c>
      <c r="G531" s="275" t="n">
        <v>20.534</v>
      </c>
      <c r="H531" s="253" t="n">
        <v>0.005513110754083149</v>
      </c>
      <c r="I531" s="268" t="n">
        <v>0</v>
      </c>
    </row>
    <row r="532">
      <c r="B532" s="247" t="inlineStr">
        <is>
          <t>Telecomunicações</t>
        </is>
      </c>
      <c r="C532" s="269" t="n">
        <v>2</v>
      </c>
      <c r="D532" s="269" t="n">
        <v>3</v>
      </c>
      <c r="E532" s="276" t="n">
        <v>74.43000000000001</v>
      </c>
      <c r="F532" s="240" t="n">
        <v>1</v>
      </c>
      <c r="G532" s="277" t="n">
        <v>74.43000000000001</v>
      </c>
      <c r="H532" s="254" t="n">
        <v>0.001998348268366654</v>
      </c>
      <c r="I532" s="273" t="n">
        <v>0</v>
      </c>
    </row>
    <row r="533">
      <c r="B533" s="243" t="inlineStr">
        <is>
          <t>Digital</t>
        </is>
      </c>
      <c r="C533" s="264" t="n">
        <v>3</v>
      </c>
      <c r="D533" s="264" t="n">
        <v>3</v>
      </c>
      <c r="E533" s="274" t="n">
        <v>10.9</v>
      </c>
      <c r="F533" s="235" t="n">
        <v>1</v>
      </c>
      <c r="G533" s="275" t="n">
        <v>10.9</v>
      </c>
      <c r="H533" s="253" t="n">
        <v>0.0002926507607845833</v>
      </c>
      <c r="I533" s="268" t="n">
        <v>0</v>
      </c>
    </row>
    <row r="536" ht="16" customHeight="1">
      <c r="B536" s="194" t="inlineStr">
        <is>
          <t>STEP 8 · NAMED FORMULA MAPS — dynamic lookup tables for institution/category routing</t>
        </is>
      </c>
      <c r="C536" s="107" t="n"/>
      <c r="D536" s="107" t="n"/>
      <c r="E536" s="107" t="n"/>
      <c r="F536" s="107" t="n"/>
      <c r="G536" s="107" t="n"/>
      <c r="H536" s="107" t="n"/>
      <c r="I536" s="107" t="n"/>
      <c r="J536" s="107" t="n"/>
      <c r="K536" s="108" t="n"/>
    </row>
    <row r="537">
      <c r="B537" s="252" t="inlineStr">
        <is>
          <t>Pattern: INDEX(logo_range, MATCH(B{r}, name_list, 0)) → linked picture updates when sort order changes.</t>
        </is>
      </c>
    </row>
    <row r="539" ht="16" customHeight="1">
      <c r="B539" s="194" t="inlineStr">
        <is>
          <t>8A · INSTITUTION SORT MAP — ranked by deployed capital</t>
        </is>
      </c>
      <c r="C539" s="107" t="n"/>
      <c r="D539" s="107" t="n"/>
      <c r="E539" s="107" t="n"/>
      <c r="F539" s="107" t="n"/>
      <c r="G539" s="107" t="n"/>
      <c r="H539" s="107" t="n"/>
      <c r="I539" s="107" t="n"/>
      <c r="J539" s="108" t="n"/>
    </row>
    <row r="540">
      <c r="B540" s="232" t="inlineStr">
        <is>
          <t>Rank</t>
        </is>
      </c>
      <c r="C540" s="232" t="inlineStr">
        <is>
          <t>Institution</t>
        </is>
      </c>
      <c r="D540" s="232" t="inlineStr">
        <is>
          <t>Total BRL</t>
        </is>
      </c>
      <c r="E540" s="232" t="inlineStr">
        <is>
          <t>Type</t>
        </is>
      </c>
      <c r="F540" s="232" t="inlineStr">
        <is>
          <t>Named Formula Ref</t>
        </is>
      </c>
    </row>
    <row r="541">
      <c r="B541" s="235" t="n">
        <v>1</v>
      </c>
      <c r="C541" s="196" t="inlineStr">
        <is>
          <t>BB Brasil</t>
        </is>
      </c>
      <c r="D541" s="275" t="n">
        <v>538162.63</v>
      </c>
      <c r="E541" s="243" t="inlineStr">
        <is>
          <t>FX Self-transfer (dominant)</t>
        </is>
      </c>
      <c r="F541" s="211">
        <f>INDEX($C$541:$C$546,1)</f>
        <v/>
      </c>
    </row>
    <row r="542">
      <c r="B542" s="240" t="n">
        <v>2</v>
      </c>
      <c r="C542" s="181" t="inlineStr">
        <is>
          <t>Banco Topázio</t>
        </is>
      </c>
      <c r="D542" s="277" t="n">
        <v>315879.73</v>
      </c>
      <c r="E542" s="247" t="inlineStr">
        <is>
          <t>IB + Fund gateway</t>
        </is>
      </c>
      <c r="F542" s="256">
        <f>INDEX($C$541:$C$546,2)</f>
        <v/>
      </c>
    </row>
    <row r="543">
      <c r="B543" s="235" t="n">
        <v>3</v>
      </c>
      <c r="C543" s="196" t="inlineStr">
        <is>
          <t>Wise Brasil</t>
        </is>
      </c>
      <c r="D543" s="275" t="n">
        <v>146795.41</v>
      </c>
      <c r="E543" s="243" t="inlineStr">
        <is>
          <t>IB + UK corridor</t>
        </is>
      </c>
      <c r="F543" s="211">
        <f>INDEX($C$541:$C$546,3)</f>
        <v/>
      </c>
    </row>
    <row r="544">
      <c r="B544" s="240" t="n">
        <v>4</v>
      </c>
      <c r="C544" s="181" t="inlineStr">
        <is>
          <t>Banco Inter</t>
        </is>
      </c>
      <c r="D544" s="277" t="n">
        <v>99280.23999999999</v>
      </c>
      <c r="E544" s="247" t="inlineStr">
        <is>
          <t>PIX + FX hub</t>
        </is>
      </c>
      <c r="F544" s="256">
        <f>INDEX($C$541:$C$546,4)</f>
        <v/>
      </c>
    </row>
    <row r="545">
      <c r="B545" s="235" t="n">
        <v>5</v>
      </c>
      <c r="C545" s="196" t="inlineStr">
        <is>
          <t>Ouribank</t>
        </is>
      </c>
      <c r="D545" s="275" t="n">
        <v>25000</v>
      </c>
      <c r="E545" s="243" t="inlineStr">
        <is>
          <t>Inbound only</t>
        </is>
      </c>
      <c r="F545" s="211">
        <f>INDEX($C$541:$C$546,5)</f>
        <v/>
      </c>
    </row>
    <row r="546">
      <c r="B546" s="240" t="n">
        <v>6</v>
      </c>
      <c r="C546" s="181" t="inlineStr">
        <is>
          <t>Daycoval</t>
        </is>
      </c>
      <c r="D546" s="277" t="n">
        <v>0</v>
      </c>
      <c r="E546" s="247" t="inlineStr">
        <is>
          <t>Travel FX 2024</t>
        </is>
      </c>
      <c r="F546" s="256">
        <f>INDEX($C$541:$C$546,6)</f>
        <v/>
      </c>
    </row>
    <row r="549" ht="16" customHeight="1">
      <c r="B549" s="194" t="inlineStr">
        <is>
          <t>8B · CATEGORY RANK MAP — sorted by spend</t>
        </is>
      </c>
      <c r="C549" s="107" t="n"/>
      <c r="D549" s="107" t="n"/>
      <c r="E549" s="107" t="n"/>
      <c r="F549" s="107" t="n"/>
      <c r="G549" s="107" t="n"/>
      <c r="H549" s="107" t="n"/>
      <c r="I549" s="107" t="n"/>
      <c r="J549" s="108" t="n"/>
    </row>
    <row r="550">
      <c r="B550" s="232" t="inlineStr">
        <is>
          <t>Rank</t>
        </is>
      </c>
      <c r="C550" s="232" t="inlineStr">
        <is>
          <t>Category</t>
        </is>
      </c>
      <c r="D550" s="232" t="inlineStr">
        <is>
          <t>Spend</t>
        </is>
      </c>
      <c r="E550" s="232" t="inlineStr">
        <is>
          <t>Class</t>
        </is>
      </c>
      <c r="F550" s="232" t="inlineStr">
        <is>
          <t>Named Formula Ref</t>
        </is>
      </c>
    </row>
    <row r="551">
      <c r="B551" s="235" t="n">
        <v>1</v>
      </c>
      <c r="C551" s="198" t="inlineStr">
        <is>
          <t>Viagem</t>
        </is>
      </c>
      <c r="D551" s="274" t="n">
        <v>9036.83</v>
      </c>
      <c r="E551" s="198" t="inlineStr">
        <is>
          <t>💡 Discr.</t>
        </is>
      </c>
      <c r="F551" s="211">
        <f>INDEX($C$551:$C$561,1)</f>
        <v/>
      </c>
    </row>
    <row r="552">
      <c r="B552" s="240" t="n">
        <v>2</v>
      </c>
      <c r="C552" s="201" t="inlineStr">
        <is>
          <t>Compras/ML</t>
        </is>
      </c>
      <c r="D552" s="276" t="n">
        <v>8744.679999999998</v>
      </c>
      <c r="E552" s="201" t="inlineStr">
        <is>
          <t>💡 Discr.</t>
        </is>
      </c>
      <c r="F552" s="256">
        <f>INDEX($C$551:$C$561,2)</f>
        <v/>
      </c>
    </row>
    <row r="553">
      <c r="B553" s="235" t="n">
        <v>3</v>
      </c>
      <c r="C553" s="209" t="inlineStr">
        <is>
          <t>IA/Tecnologia</t>
        </is>
      </c>
      <c r="D553" s="266" t="n">
        <v>6624.360000000001</v>
      </c>
      <c r="E553" s="209" t="inlineStr">
        <is>
          <t>⚠ Review</t>
        </is>
      </c>
      <c r="F553" s="211">
        <f>INDEX($C$551:$C$561,3)</f>
        <v/>
      </c>
    </row>
    <row r="554">
      <c r="B554" s="240" t="n">
        <v>4</v>
      </c>
      <c r="C554" s="213" t="inlineStr">
        <is>
          <t>Loteria</t>
        </is>
      </c>
      <c r="D554" s="271" t="n">
        <v>6455.1</v>
      </c>
      <c r="E554" s="213" t="inlineStr">
        <is>
          <t>⚠ Review</t>
        </is>
      </c>
      <c r="F554" s="256">
        <f>INDEX($C$551:$C$561,4)</f>
        <v/>
      </c>
    </row>
    <row r="555">
      <c r="B555" s="235" t="n">
        <v>5</v>
      </c>
      <c r="C555" s="198" t="inlineStr">
        <is>
          <t>Outros</t>
        </is>
      </c>
      <c r="D555" s="274" t="n">
        <v>2235.58</v>
      </c>
      <c r="E555" s="198" t="inlineStr">
        <is>
          <t>❓</t>
        </is>
      </c>
      <c r="F555" s="211">
        <f>INDEX($C$551:$C$561,5)</f>
        <v/>
      </c>
    </row>
    <row r="556">
      <c r="B556" s="240" t="n">
        <v>6</v>
      </c>
      <c r="C556" s="207" t="inlineStr">
        <is>
          <t>Internet</t>
        </is>
      </c>
      <c r="D556" s="272" t="n">
        <v>1413.12</v>
      </c>
      <c r="E556" s="207" t="inlineStr">
        <is>
          <t>✅ Ess.</t>
        </is>
      </c>
      <c r="F556" s="256">
        <f>INDEX($C$551:$C$561,6)</f>
        <v/>
      </c>
    </row>
    <row r="557">
      <c r="B557" s="235" t="n">
        <v>7</v>
      </c>
      <c r="C557" s="198" t="inlineStr">
        <is>
          <t>Assinatura</t>
        </is>
      </c>
      <c r="D557" s="274" t="n">
        <v>1227.5</v>
      </c>
      <c r="E557" s="198" t="inlineStr">
        <is>
          <t>💡 Discr.</t>
        </is>
      </c>
      <c r="F557" s="211">
        <f>INDEX($C$551:$C$561,7)</f>
        <v/>
      </c>
    </row>
    <row r="558">
      <c r="B558" s="240" t="n">
        <v>8</v>
      </c>
      <c r="C558" s="207" t="inlineStr">
        <is>
          <t>Delivery/iFood</t>
        </is>
      </c>
      <c r="D558" s="272" t="n">
        <v>1217.92</v>
      </c>
      <c r="E558" s="207" t="inlineStr">
        <is>
          <t>✅ Ess.</t>
        </is>
      </c>
      <c r="F558" s="256">
        <f>INDEX($C$551:$C$561,8)</f>
        <v/>
      </c>
    </row>
    <row r="559">
      <c r="B559" s="235" t="n">
        <v>9</v>
      </c>
      <c r="C559" s="198" t="inlineStr">
        <is>
          <t>Transporte</t>
        </is>
      </c>
      <c r="D559" s="274" t="n">
        <v>205.34</v>
      </c>
      <c r="E559" s="198" t="inlineStr">
        <is>
          <t>💡 Discr.</t>
        </is>
      </c>
      <c r="F559" s="211">
        <f>INDEX($C$551:$C$561,9)</f>
        <v/>
      </c>
    </row>
    <row r="560">
      <c r="B560" s="240" t="n">
        <v>10</v>
      </c>
      <c r="C560" s="207" t="inlineStr">
        <is>
          <t>Telecomunicações</t>
        </is>
      </c>
      <c r="D560" s="272" t="n">
        <v>74.43000000000001</v>
      </c>
      <c r="E560" s="207" t="inlineStr">
        <is>
          <t>✅ Ess.</t>
        </is>
      </c>
      <c r="F560" s="256">
        <f>INDEX($C$551:$C$561,10)</f>
        <v/>
      </c>
    </row>
    <row r="561">
      <c r="B561" s="235" t="n">
        <v>11</v>
      </c>
      <c r="C561" s="198" t="inlineStr">
        <is>
          <t>Digital</t>
        </is>
      </c>
      <c r="D561" s="274" t="n">
        <v>10.9</v>
      </c>
      <c r="E561" s="198" t="inlineStr">
        <is>
          <t>💡 Discr.</t>
        </is>
      </c>
      <c r="F561" s="211">
        <f>INDEX($C$551:$C$561,11)</f>
        <v/>
      </c>
    </row>
    <row r="564" ht="16" customHeight="1">
      <c r="B564" s="194" t="inlineStr">
        <is>
          <t>STEP 9 · SPARKLINE HISTORY DATA — subscription billing + monthly card spend trend</t>
        </is>
      </c>
      <c r="C564" s="107" t="n"/>
      <c r="D564" s="107" t="n"/>
      <c r="E564" s="107" t="n"/>
      <c r="F564" s="107" t="n"/>
      <c r="G564" s="107" t="n"/>
      <c r="H564" s="107" t="n"/>
      <c r="I564" s="107" t="n"/>
      <c r="J564" s="107" t="n"/>
      <c r="K564" s="108" t="n"/>
    </row>
    <row r="565">
      <c r="B565" s="252" t="inlineStr">
        <is>
          <t>Win/Loss pattern: 1=billed/active, 0=cancelled/gap. Line sparkline: monthly spend values. Select a row range → Insert → Sparklines → Win/Loss or Line.</t>
        </is>
      </c>
    </row>
    <row r="567" ht="16" customHeight="1">
      <c r="B567" s="194" t="inlineStr">
        <is>
          <t>9A · SUBSCRIPTION BILLING HISTORY (Jan–Jun 2026)</t>
        </is>
      </c>
      <c r="C567" s="107" t="n"/>
      <c r="D567" s="107" t="n"/>
      <c r="E567" s="107" t="n"/>
      <c r="F567" s="107" t="n"/>
      <c r="G567" s="107" t="n"/>
      <c r="H567" s="107" t="n"/>
      <c r="I567" s="107" t="n"/>
      <c r="J567" s="108" t="n"/>
    </row>
    <row r="568">
      <c r="B568" s="232" t="inlineStr">
        <is>
          <t>Service</t>
        </is>
      </c>
      <c r="C568" s="232" t="inlineStr">
        <is>
          <t>Decision</t>
        </is>
      </c>
      <c r="D568" s="232" t="inlineStr">
        <is>
          <t>Jan</t>
        </is>
      </c>
      <c r="E568" s="232" t="inlineStr">
        <is>
          <t>Feb</t>
        </is>
      </c>
      <c r="F568" s="232" t="inlineStr">
        <is>
          <t>Mar</t>
        </is>
      </c>
      <c r="G568" s="232" t="inlineStr">
        <is>
          <t>Apr</t>
        </is>
      </c>
      <c r="H568" s="232" t="inlineStr">
        <is>
          <t>May</t>
        </is>
      </c>
      <c r="I568" s="232" t="inlineStr">
        <is>
          <t>Jun</t>
        </is>
      </c>
      <c r="J568" s="232" t="inlineStr">
        <is>
          <t>Total Mo</t>
        </is>
      </c>
    </row>
    <row r="569">
      <c r="B569" s="243" t="inlineStr">
        <is>
          <t>Claude</t>
        </is>
      </c>
      <c r="C569" s="210" t="inlineStr">
        <is>
          <t>CANCEL</t>
        </is>
      </c>
      <c r="D569" s="257" t="n">
        <v>1</v>
      </c>
      <c r="E569" s="257" t="n">
        <v>1</v>
      </c>
      <c r="F569" s="257" t="n">
        <v>1</v>
      </c>
      <c r="G569" s="257" t="n">
        <v>1</v>
      </c>
      <c r="H569" s="257" t="n">
        <v>1</v>
      </c>
      <c r="I569" s="257" t="n">
        <v>1</v>
      </c>
      <c r="J569" s="234" t="n">
        <v>92</v>
      </c>
    </row>
    <row r="570">
      <c r="B570" s="247" t="inlineStr">
        <is>
          <t>Claude</t>
        </is>
      </c>
      <c r="C570" s="214" t="inlineStr">
        <is>
          <t>CANCEL</t>
        </is>
      </c>
      <c r="D570" s="278" t="n">
        <v>1</v>
      </c>
      <c r="E570" s="278" t="n">
        <v>1</v>
      </c>
      <c r="F570" s="278" t="n">
        <v>1</v>
      </c>
      <c r="G570" s="278" t="n">
        <v>1</v>
      </c>
      <c r="H570" s="278" t="n">
        <v>1</v>
      </c>
      <c r="I570" s="278" t="n">
        <v>1</v>
      </c>
      <c r="J570" s="239" t="n">
        <v>92</v>
      </c>
    </row>
    <row r="571">
      <c r="B571" s="243" t="inlineStr">
        <is>
          <t>ChatGPT</t>
        </is>
      </c>
      <c r="C571" s="206" t="inlineStr">
        <is>
          <t>KEEP</t>
        </is>
      </c>
      <c r="D571" s="279" t="n">
        <v>1</v>
      </c>
      <c r="E571" s="279" t="n">
        <v>1</v>
      </c>
      <c r="F571" s="279" t="n">
        <v>1</v>
      </c>
      <c r="G571" s="279" t="n">
        <v>1</v>
      </c>
      <c r="H571" s="279" t="n">
        <v>1</v>
      </c>
      <c r="I571" s="279" t="n">
        <v>1</v>
      </c>
      <c r="J571" s="236" t="n">
        <v>106</v>
      </c>
    </row>
    <row r="572">
      <c r="B572" s="247" t="inlineStr">
        <is>
          <t>Google</t>
        </is>
      </c>
      <c r="C572" s="204" t="inlineStr">
        <is>
          <t>REVIEW</t>
        </is>
      </c>
      <c r="D572" s="280" t="n">
        <v>1</v>
      </c>
      <c r="E572" s="280" t="n">
        <v>1</v>
      </c>
      <c r="F572" s="280" t="n">
        <v>1</v>
      </c>
      <c r="G572" s="280" t="n">
        <v>1</v>
      </c>
      <c r="H572" s="280" t="n">
        <v>1</v>
      </c>
      <c r="I572" s="280" t="n">
        <v>1</v>
      </c>
      <c r="J572" s="242" t="n">
        <v>96.98999999999999</v>
      </c>
    </row>
    <row r="573">
      <c r="B573" s="243" t="inlineStr">
        <is>
          <t>Manus</t>
        </is>
      </c>
      <c r="C573" s="215" t="inlineStr">
        <is>
          <t>REVIEW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37" t="n">
        <v>0</v>
      </c>
    </row>
    <row r="574">
      <c r="B574" s="247" t="inlineStr">
        <is>
          <t>Manus</t>
        </is>
      </c>
      <c r="C574" s="204" t="inlineStr">
        <is>
          <t>REVIEW</t>
        </is>
      </c>
      <c r="D574" s="280" t="n">
        <v>1</v>
      </c>
      <c r="E574" s="280" t="n">
        <v>1</v>
      </c>
      <c r="F574" s="280" t="n">
        <v>1</v>
      </c>
      <c r="G574" s="280" t="n">
        <v>1</v>
      </c>
      <c r="H574" s="280" t="n">
        <v>1</v>
      </c>
      <c r="I574" s="280" t="n">
        <v>1</v>
      </c>
      <c r="J574" s="242" t="n">
        <v>418.43</v>
      </c>
    </row>
    <row r="575">
      <c r="B575" s="243" t="inlineStr">
        <is>
          <t>Cursor</t>
        </is>
      </c>
      <c r="C575" s="206" t="inlineStr">
        <is>
          <t>KEEP</t>
        </is>
      </c>
      <c r="D575" s="279" t="n">
        <v>1</v>
      </c>
      <c r="E575" s="279" t="n">
        <v>1</v>
      </c>
      <c r="F575" s="279" t="n">
        <v>1</v>
      </c>
      <c r="G575" s="279" t="n">
        <v>1</v>
      </c>
      <c r="H575" s="279" t="n">
        <v>1</v>
      </c>
      <c r="I575" s="279" t="n">
        <v>1</v>
      </c>
      <c r="J575" s="236" t="n">
        <v>106</v>
      </c>
    </row>
    <row r="576">
      <c r="B576" s="247" t="inlineStr">
        <is>
          <t>Desktop Commander</t>
        </is>
      </c>
      <c r="C576" s="204" t="inlineStr">
        <is>
          <t>REVIEW</t>
        </is>
      </c>
      <c r="D576" s="280" t="n">
        <v>1</v>
      </c>
      <c r="E576" s="280" t="n">
        <v>1</v>
      </c>
      <c r="F576" s="280" t="n">
        <v>1</v>
      </c>
      <c r="G576" s="280" t="n">
        <v>1</v>
      </c>
      <c r="H576" s="280" t="n">
        <v>1</v>
      </c>
      <c r="I576" s="280" t="n">
        <v>1</v>
      </c>
      <c r="J576" s="242" t="n">
        <v>45.37</v>
      </c>
    </row>
    <row r="577">
      <c r="B577" s="243" t="inlineStr">
        <is>
          <t>Filmora9</t>
        </is>
      </c>
      <c r="C577" s="215" t="inlineStr">
        <is>
          <t>REVIEW</t>
        </is>
      </c>
      <c r="D577" s="259" t="n">
        <v>1</v>
      </c>
      <c r="E577" s="259" t="n">
        <v>1</v>
      </c>
      <c r="F577" s="259" t="n">
        <v>1</v>
      </c>
      <c r="G577" s="259" t="n">
        <v>1</v>
      </c>
      <c r="H577" s="259" t="n">
        <v>1</v>
      </c>
      <c r="I577" s="259" t="n">
        <v>1</v>
      </c>
      <c r="J577" s="237" t="n">
        <v>15.40833333333333</v>
      </c>
    </row>
    <row r="578">
      <c r="B578" s="247" t="inlineStr">
        <is>
          <t>Grok</t>
        </is>
      </c>
      <c r="C578" s="214" t="inlineStr">
        <is>
          <t>CANCEL</t>
        </is>
      </c>
      <c r="D578" s="278" t="n">
        <v>1</v>
      </c>
      <c r="E578" s="278" t="n">
        <v>1</v>
      </c>
      <c r="F578" s="278" t="n">
        <v>1</v>
      </c>
      <c r="G578" s="278" t="n">
        <v>1</v>
      </c>
      <c r="H578" s="278" t="n">
        <v>1</v>
      </c>
      <c r="I578" s="278" t="n">
        <v>1</v>
      </c>
      <c r="J578" s="239" t="n">
        <v>149.9</v>
      </c>
    </row>
    <row r="579">
      <c r="B579" s="243" t="inlineStr">
        <is>
          <t>iCloud+</t>
        </is>
      </c>
      <c r="C579" s="206" t="inlineStr">
        <is>
          <t>KEEP</t>
        </is>
      </c>
      <c r="D579" s="279" t="n">
        <v>1</v>
      </c>
      <c r="E579" s="279" t="n">
        <v>1</v>
      </c>
      <c r="F579" s="279" t="n">
        <v>1</v>
      </c>
      <c r="G579" s="279" t="n">
        <v>1</v>
      </c>
      <c r="H579" s="279" t="n">
        <v>1</v>
      </c>
      <c r="I579" s="279" t="n">
        <v>1</v>
      </c>
      <c r="J579" s="236" t="n">
        <v>19.9</v>
      </c>
    </row>
    <row r="580">
      <c r="B580" s="247" t="inlineStr">
        <is>
          <t>Microsoft 365 Personal</t>
        </is>
      </c>
      <c r="C580" s="204" t="inlineStr">
        <is>
          <t>REVIEW</t>
        </is>
      </c>
      <c r="D580" s="280" t="n">
        <v>1</v>
      </c>
      <c r="E580" s="280" t="n">
        <v>1</v>
      </c>
      <c r="F580" s="280" t="n">
        <v>1</v>
      </c>
      <c r="G580" s="280" t="n">
        <v>1</v>
      </c>
      <c r="H580" s="280" t="n">
        <v>1</v>
      </c>
      <c r="I580" s="280" t="n">
        <v>1</v>
      </c>
      <c r="J580" s="242" t="n">
        <v>42.41666666666666</v>
      </c>
    </row>
    <row r="581">
      <c r="B581" s="243" t="inlineStr">
        <is>
          <t>NordVPN</t>
        </is>
      </c>
      <c r="C581" s="215" t="inlineStr">
        <is>
          <t>REVIEW</t>
        </is>
      </c>
      <c r="D581" s="259" t="n">
        <v>1</v>
      </c>
      <c r="E581" s="259" t="n">
        <v>1</v>
      </c>
      <c r="F581" s="259" t="n">
        <v>1</v>
      </c>
      <c r="G581" s="259" t="n">
        <v>1</v>
      </c>
      <c r="H581" s="259" t="n">
        <v>1</v>
      </c>
      <c r="I581" s="259" t="n">
        <v>1</v>
      </c>
      <c r="J581" s="237" t="n">
        <v>28.325</v>
      </c>
    </row>
    <row r="582">
      <c r="B582" s="247" t="inlineStr">
        <is>
          <t>Perplexity</t>
        </is>
      </c>
      <c r="C582" s="208" t="inlineStr">
        <is>
          <t>KEEP</t>
        </is>
      </c>
      <c r="D582" s="258" t="n">
        <v>1</v>
      </c>
      <c r="E582" s="258" t="n">
        <v>1</v>
      </c>
      <c r="F582" s="258" t="n">
        <v>1</v>
      </c>
      <c r="G582" s="258" t="n">
        <v>1</v>
      </c>
      <c r="H582" s="258" t="n">
        <v>1</v>
      </c>
      <c r="I582" s="258" t="n">
        <v>1</v>
      </c>
      <c r="J582" s="241" t="n">
        <v>99.90000000000001</v>
      </c>
    </row>
    <row r="583">
      <c r="B583" s="243" t="inlineStr">
        <is>
          <t>TuneIn Radio</t>
        </is>
      </c>
      <c r="C583" s="210" t="inlineStr">
        <is>
          <t>CANCEL</t>
        </is>
      </c>
      <c r="D583" s="257" t="n">
        <v>1</v>
      </c>
      <c r="E583" s="257" t="n">
        <v>1</v>
      </c>
      <c r="F583" s="257" t="n">
        <v>1</v>
      </c>
      <c r="G583" s="257" t="n">
        <v>1</v>
      </c>
      <c r="H583" s="257" t="n">
        <v>1</v>
      </c>
      <c r="I583" s="257" t="n">
        <v>1</v>
      </c>
      <c r="J583" s="234" t="n">
        <v>31.9</v>
      </c>
    </row>
    <row r="585" ht="16" customHeight="1">
      <c r="B585" s="194" t="inlineStr">
        <is>
          <t>9B · MONTHLY CARD SPEND TREND (Jan–Jun 2026) — for line sparkline</t>
        </is>
      </c>
      <c r="C585" s="107" t="n"/>
      <c r="D585" s="107" t="n"/>
      <c r="E585" s="107" t="n"/>
      <c r="F585" s="107" t="n"/>
      <c r="G585" s="107" t="n"/>
      <c r="H585" s="107" t="n"/>
      <c r="I585" s="107" t="n"/>
      <c r="J585" s="108" t="n"/>
    </row>
    <row r="586">
      <c r="B586" s="232" t="inlineStr">
        <is>
          <t>Metric</t>
        </is>
      </c>
      <c r="C586" s="232" t="inlineStr">
        <is>
          <t>Jan</t>
        </is>
      </c>
      <c r="D586" s="232" t="inlineStr">
        <is>
          <t>Feb</t>
        </is>
      </c>
      <c r="E586" s="232" t="inlineStr">
        <is>
          <t>Mar</t>
        </is>
      </c>
      <c r="F586" s="232" t="inlineStr">
        <is>
          <t>Apr</t>
        </is>
      </c>
      <c r="G586" s="232" t="inlineStr">
        <is>
          <t>May</t>
        </is>
      </c>
      <c r="H586" s="232" t="inlineStr">
        <is>
          <t>Jun</t>
        </is>
      </c>
      <c r="I586" s="232" t="inlineStr">
        <is>
          <t>Trend</t>
        </is>
      </c>
      <c r="J586" s="232" t="inlineStr">
        <is>
          <t>MoM Latest</t>
        </is>
      </c>
    </row>
    <row r="587">
      <c r="B587" s="243" t="inlineStr">
        <is>
          <t>Card Spend</t>
        </is>
      </c>
      <c r="C587" s="219" t="n">
        <v>3745.4</v>
      </c>
      <c r="D587" s="219" t="n">
        <v>9515.9</v>
      </c>
      <c r="E587" s="219" t="n">
        <v>14231.47</v>
      </c>
      <c r="F587" s="219" t="n">
        <v>5330.44</v>
      </c>
      <c r="G587" s="219" t="n">
        <v>3308.38</v>
      </c>
      <c r="H587" s="219" t="n">
        <v>1114.17</v>
      </c>
      <c r="I587" s="206" t="inlineStr">
        <is>
          <t>↓</t>
        </is>
      </c>
      <c r="J587" s="227" t="n">
        <v>-0.6632279242408671</v>
      </c>
    </row>
    <row r="588">
      <c r="B588" s="247" t="inlineStr">
        <is>
          <t>Cum Spend</t>
        </is>
      </c>
      <c r="C588" s="222" t="n">
        <v>3745.4</v>
      </c>
      <c r="D588" s="222" t="n">
        <v>13261.3</v>
      </c>
      <c r="E588" s="222" t="n">
        <v>27492.77</v>
      </c>
      <c r="F588" s="222" t="n">
        <v>32823.21</v>
      </c>
      <c r="G588" s="222" t="n">
        <v>36131.59</v>
      </c>
      <c r="H588" s="222" t="n">
        <v>37245.76</v>
      </c>
      <c r="I588" s="214" t="inlineStr">
        <is>
          <t>↑</t>
        </is>
      </c>
      <c r="J588" s="223" t="n">
        <v>0.03083645087304484</v>
      </c>
    </row>
    <row r="589">
      <c r="B589" s="243" t="inlineStr">
        <is>
          <t>vs Avg</t>
        </is>
      </c>
      <c r="C589" s="219" t="n">
        <v>-2462.226666666667</v>
      </c>
      <c r="D589" s="219" t="n">
        <v>3308.273333333333</v>
      </c>
      <c r="E589" s="219" t="n">
        <v>8023.843333333334</v>
      </c>
      <c r="F589" s="219" t="n">
        <v>-877.1866666666674</v>
      </c>
      <c r="G589" s="219" t="n">
        <v>-2899.246666666667</v>
      </c>
      <c r="H589" s="219" t="n">
        <v>-5093.456666666667</v>
      </c>
      <c r="I589" s="210" t="inlineStr">
        <is>
          <t>↓</t>
        </is>
      </c>
      <c r="J589" s="220" t="n">
        <v>0.7568207373409643</v>
      </c>
    </row>
    <row r="592" ht="16" customHeight="1">
      <c r="B592" s="194" t="inlineStr">
        <is>
          <t>STEP 10 · COMMAND CENTER WIRING MAP — every dashboard tile → exact CALC source cell</t>
        </is>
      </c>
      <c r="C592" s="107" t="n"/>
      <c r="D592" s="107" t="n"/>
      <c r="E592" s="107" t="n"/>
      <c r="F592" s="107" t="n"/>
      <c r="G592" s="107" t="n"/>
      <c r="H592" s="107" t="n"/>
      <c r="I592" s="107" t="n"/>
      <c r="J592" s="107" t="n"/>
      <c r="K592" s="108" t="n"/>
    </row>
    <row r="593">
      <c r="B593" s="252" t="inlineStr">
        <is>
          <t>How to wire: select the text box / cell on the dashboard → click formula bar → type = → click the source cell below → Enter.</t>
        </is>
      </c>
    </row>
    <row r="595" ht="16" customHeight="1">
      <c r="B595" s="194" t="inlineStr">
        <is>
          <t>10A · KPI TILES — NET WORTH CLUSTER</t>
        </is>
      </c>
      <c r="C595" s="107" t="n"/>
      <c r="D595" s="107" t="n"/>
      <c r="E595" s="107" t="n"/>
      <c r="F595" s="107" t="n"/>
      <c r="G595" s="107" t="n"/>
      <c r="H595" s="107" t="n"/>
      <c r="I595" s="107" t="n"/>
      <c r="J595" s="108" t="n"/>
    </row>
    <row r="596">
      <c r="B596" s="232" t="inlineStr">
        <is>
          <t>Tile Name</t>
        </is>
      </c>
      <c r="C596" s="232" t="inlineStr">
        <is>
          <t>Color</t>
        </is>
      </c>
      <c r="D596" s="232" t="inlineStr">
        <is>
          <t>Raw CALC Cell</t>
        </is>
      </c>
      <c r="E596" s="232" t="inlineStr">
        <is>
          <t>Display CALC Cell</t>
        </is>
      </c>
      <c r="F596" s="232" t="inlineStr">
        <is>
          <t>Dashboard Sheet Cell</t>
        </is>
      </c>
    </row>
    <row r="597">
      <c r="B597" s="196" t="inlineStr">
        <is>
          <t>Est. Net Worth</t>
        </is>
      </c>
      <c r="C597" s="200" t="inlineStr">
        <is>
          <t>orange</t>
        </is>
      </c>
      <c r="D597" s="211" t="inlineStr">
        <is>
          <t>CALC!C137</t>
        </is>
      </c>
      <c r="E597" s="205" t="inlineStr">
        <is>
          <t>CALC!E161</t>
        </is>
      </c>
      <c r="F597" s="243" t="inlineStr">
        <is>
          <t>00 COMMAND CENTER B5</t>
        </is>
      </c>
    </row>
    <row r="598">
      <c r="B598" s="201" t="inlineStr">
        <is>
          <t>Total Liquidity</t>
        </is>
      </c>
      <c r="C598" s="204" t="inlineStr">
        <is>
          <t>yellow</t>
        </is>
      </c>
      <c r="D598" s="256" t="inlineStr">
        <is>
          <t>CALC!C123</t>
        </is>
      </c>
      <c r="E598" s="207" t="inlineStr">
        <is>
          <t>CALC!E162</t>
        </is>
      </c>
      <c r="F598" s="247" t="inlineStr">
        <is>
          <t>00 COMMAND CENTER D5</t>
        </is>
      </c>
    </row>
    <row r="599">
      <c r="B599" s="205" t="inlineStr">
        <is>
          <t>IB Net Deployed</t>
        </is>
      </c>
      <c r="C599" s="206" t="inlineStr">
        <is>
          <t>green</t>
        </is>
      </c>
      <c r="D599" s="211" t="inlineStr">
        <is>
          <t>CALC!C126</t>
        </is>
      </c>
      <c r="E599" s="205" t="inlineStr">
        <is>
          <t>CALC!E163</t>
        </is>
      </c>
      <c r="F599" s="243" t="inlineStr">
        <is>
          <t>00 COMMAND CENTER F5</t>
        </is>
      </c>
    </row>
    <row r="600">
      <c r="B600" s="207" t="inlineStr">
        <is>
          <t>Fundos BRL</t>
        </is>
      </c>
      <c r="C600" s="208" t="inlineStr">
        <is>
          <t>green</t>
        </is>
      </c>
      <c r="D600" s="256" t="inlineStr">
        <is>
          <t>CALC!C127</t>
        </is>
      </c>
      <c r="E600" s="207" t="inlineStr">
        <is>
          <t>CALC!E164</t>
        </is>
      </c>
      <c r="F600" s="247" t="inlineStr">
        <is>
          <t>00 COMMAND CENTER H5</t>
        </is>
      </c>
    </row>
    <row r="601">
      <c r="B601" s="209" t="inlineStr">
        <is>
          <t>FX Outbound H1</t>
        </is>
      </c>
      <c r="C601" s="210" t="inlineStr">
        <is>
          <t>red</t>
        </is>
      </c>
      <c r="D601" s="211" t="inlineStr">
        <is>
          <t>CALC!C128</t>
        </is>
      </c>
      <c r="E601" s="205" t="inlineStr">
        <is>
          <t>CALC!E165</t>
        </is>
      </c>
      <c r="F601" s="243" t="inlineStr">
        <is>
          <t>00 COMMAND CENTER B7</t>
        </is>
      </c>
    </row>
    <row r="602">
      <c r="B602" s="217" t="inlineStr">
        <is>
          <t>Inbound H1</t>
        </is>
      </c>
      <c r="C602" s="218" t="inlineStr">
        <is>
          <t>cyan</t>
        </is>
      </c>
      <c r="D602" s="256" t="inlineStr">
        <is>
          <t>CALC!C129</t>
        </is>
      </c>
      <c r="E602" s="207" t="inlineStr">
        <is>
          <t>CALC!E166</t>
        </is>
      </c>
      <c r="F602" s="247" t="inlineStr">
        <is>
          <t>00 COMMAND CENTER D7</t>
        </is>
      </c>
    </row>
    <row r="603">
      <c r="B603" s="211" t="inlineStr">
        <is>
          <t>Avg FX Rate</t>
        </is>
      </c>
      <c r="C603" s="244" t="inlineStr">
        <is>
          <t>blue</t>
        </is>
      </c>
      <c r="D603" s="211" t="inlineStr">
        <is>
          <t>CALC!C130</t>
        </is>
      </c>
      <c r="E603" s="205" t="inlineStr">
        <is>
          <t>CALC!E167</t>
        </is>
      </c>
      <c r="F603" s="243" t="inlineStr">
        <is>
          <t>00 COMMAND CENTER F7</t>
        </is>
      </c>
    </row>
    <row r="604">
      <c r="B604" s="213" t="inlineStr">
        <is>
          <t>Card Spend H1</t>
        </is>
      </c>
      <c r="C604" s="214" t="inlineStr">
        <is>
          <t>red</t>
        </is>
      </c>
      <c r="D604" s="256" t="inlineStr">
        <is>
          <t>CALC!C131</t>
        </is>
      </c>
      <c r="E604" s="207" t="inlineStr">
        <is>
          <t>CALC!E170</t>
        </is>
      </c>
      <c r="F604" s="247" t="inlineStr">
        <is>
          <t>00 COMMAND CENTER H7</t>
        </is>
      </c>
    </row>
    <row r="605">
      <c r="B605" s="198" t="inlineStr">
        <is>
          <t>Card Avg/Month</t>
        </is>
      </c>
      <c r="C605" s="215" t="inlineStr">
        <is>
          <t>yellow</t>
        </is>
      </c>
      <c r="D605" s="211" t="inlineStr">
        <is>
          <t>CALC!C132</t>
        </is>
      </c>
      <c r="E605" s="205" t="inlineStr">
        <is>
          <t>CALC!E171</t>
        </is>
      </c>
      <c r="F605" s="243" t="inlineStr">
        <is>
          <t>00 COMMAND CENTER B9</t>
        </is>
      </c>
    </row>
    <row r="606">
      <c r="B606" s="217" t="inlineStr">
        <is>
          <t>PIX Net Flow</t>
        </is>
      </c>
      <c r="C606" s="218" t="inlineStr">
        <is>
          <t>cyan</t>
        </is>
      </c>
      <c r="D606" s="256" t="inlineStr">
        <is>
          <t>CALC!C136</t>
        </is>
      </c>
      <c r="E606" s="207" t="inlineStr">
        <is>
          <t>CALC!E172</t>
        </is>
      </c>
      <c r="F606" s="247" t="inlineStr">
        <is>
          <t>00 COMMAND CENTER D9</t>
        </is>
      </c>
    </row>
    <row r="607">
      <c r="B607" s="209" t="inlineStr">
        <is>
          <t>Sub Stack/Month</t>
        </is>
      </c>
      <c r="C607" s="210" t="inlineStr">
        <is>
          <t>red</t>
        </is>
      </c>
      <c r="D607" s="211" t="inlineStr">
        <is>
          <t>CALC!C133</t>
        </is>
      </c>
      <c r="E607" s="205" t="inlineStr">
        <is>
          <t>CALC!E173</t>
        </is>
      </c>
      <c r="F607" s="243" t="inlineStr">
        <is>
          <t>00 COMMAND CENTER F9</t>
        </is>
      </c>
    </row>
    <row r="608">
      <c r="B608" s="207" t="inlineStr">
        <is>
          <t>Cancel Savings/Mo</t>
        </is>
      </c>
      <c r="C608" s="208" t="inlineStr">
        <is>
          <t>green</t>
        </is>
      </c>
      <c r="D608" s="256" t="inlineStr">
        <is>
          <t>CALC!C134</t>
        </is>
      </c>
      <c r="E608" s="207" t="inlineStr">
        <is>
          <t>CALC!E174</t>
        </is>
      </c>
      <c r="F608" s="247" t="inlineStr">
        <is>
          <t>00 COMMAND CENTER H9</t>
        </is>
      </c>
    </row>
    <row r="609">
      <c r="B609" s="205" t="inlineStr">
        <is>
          <t>Cancel Savings/Yr</t>
        </is>
      </c>
      <c r="C609" s="206" t="inlineStr">
        <is>
          <t>green</t>
        </is>
      </c>
      <c r="D609" s="211" t="inlineStr">
        <is>
          <t>CALC!C135</t>
        </is>
      </c>
      <c r="E609" s="205" t="inlineStr">
        <is>
          <t>CALC!E175</t>
        </is>
      </c>
      <c r="F609" s="243" t="inlineStr">
        <is>
          <t>00 COMMAND CENTER B11</t>
        </is>
      </c>
    </row>
    <row r="610">
      <c r="B610" s="207" t="inlineStr">
        <is>
          <t>IB Deposits Gross</t>
        </is>
      </c>
      <c r="C610" s="208" t="inlineStr">
        <is>
          <t>green</t>
        </is>
      </c>
      <c r="D610" s="256" t="inlineStr">
        <is>
          <t>CALC!C124</t>
        </is>
      </c>
      <c r="E610" s="207" t="inlineStr">
        <is>
          <t>CALC!E168</t>
        </is>
      </c>
      <c r="F610" s="247" t="inlineStr">
        <is>
          <t>00 COMMAND CENTER D11</t>
        </is>
      </c>
    </row>
    <row r="611">
      <c r="B611" s="209" t="inlineStr">
        <is>
          <t>IB Withdrawal</t>
        </is>
      </c>
      <c r="C611" s="210" t="inlineStr">
        <is>
          <t>red</t>
        </is>
      </c>
      <c r="D611" s="211" t="inlineStr">
        <is>
          <t>CALC!C125</t>
        </is>
      </c>
      <c r="E611" s="205" t="inlineStr">
        <is>
          <t>CALC!E169</t>
        </is>
      </c>
      <c r="F611" s="243" t="inlineStr">
        <is>
          <t>00 COMMAND CENTER F11</t>
        </is>
      </c>
    </row>
    <row r="614" ht="16" customHeight="1">
      <c r="B614" s="194" t="inlineStr">
        <is>
          <t>10B · MoM ARROWS — wire into dashboard alongside KPI tiles</t>
        </is>
      </c>
      <c r="C614" s="107" t="n"/>
      <c r="D614" s="107" t="n"/>
      <c r="E614" s="107" t="n"/>
      <c r="F614" s="107" t="n"/>
      <c r="G614" s="107" t="n"/>
      <c r="H614" s="107" t="n"/>
      <c r="I614" s="107" t="n"/>
      <c r="J614" s="108" t="n"/>
    </row>
    <row r="615">
      <c r="B615" s="232" t="inlineStr">
        <is>
          <t>Metric</t>
        </is>
      </c>
      <c r="C615" s="232" t="inlineStr">
        <is>
          <t>Icon Cell</t>
        </is>
      </c>
      <c r="D615" s="232" t="inlineStr">
        <is>
          <t>Text Cell</t>
        </is>
      </c>
      <c r="E615" s="232" t="inlineStr">
        <is>
          <t>Raw% Cell</t>
        </is>
      </c>
      <c r="F615" s="232" t="inlineStr">
        <is>
          <t>Notes</t>
        </is>
      </c>
    </row>
    <row r="616">
      <c r="B616" s="243" t="inlineStr">
        <is>
          <t>Card Spend MoM</t>
        </is>
      </c>
      <c r="C616" s="211" t="inlineStr">
        <is>
          <t>CALC!C488</t>
        </is>
      </c>
      <c r="D616" s="205" t="inlineStr">
        <is>
          <t>CALC!D488</t>
        </is>
      </c>
      <c r="E616" s="243" t="inlineStr">
        <is>
          <t>CALC!E488</t>
        </is>
      </c>
      <c r="F616" s="198" t="inlineStr">
        <is>
          <t>INVERTED: ↓ = good</t>
        </is>
      </c>
    </row>
    <row r="617">
      <c r="B617" s="247" t="inlineStr">
        <is>
          <t>PIX In MoM</t>
        </is>
      </c>
      <c r="C617" s="256" t="inlineStr">
        <is>
          <t>CALC!C489</t>
        </is>
      </c>
      <c r="D617" s="207" t="inlineStr">
        <is>
          <t>CALC!D489</t>
        </is>
      </c>
      <c r="E617" s="247" t="inlineStr">
        <is>
          <t>CALC!E489</t>
        </is>
      </c>
      <c r="F617" s="201" t="inlineStr">
        <is>
          <t>Normal: ↑ = good</t>
        </is>
      </c>
    </row>
    <row r="618">
      <c r="B618" s="243" t="inlineStr">
        <is>
          <t>FX Out MoM</t>
        </is>
      </c>
      <c r="C618" s="211" t="inlineStr">
        <is>
          <t>CALC!C491</t>
        </is>
      </c>
      <c r="D618" s="205" t="inlineStr">
        <is>
          <t>CALC!D491</t>
        </is>
      </c>
      <c r="E618" s="243" t="inlineStr">
        <is>
          <t>CALC!E491</t>
        </is>
      </c>
      <c r="F618" s="198" t="inlineStr">
        <is>
          <t>INVERTED: ↓ = good</t>
        </is>
      </c>
    </row>
    <row r="619">
      <c r="B619" s="247" t="inlineStr">
        <is>
          <t>Sub Stack MoM</t>
        </is>
      </c>
      <c r="C619" s="256" t="inlineStr">
        <is>
          <t>CALC!C493</t>
        </is>
      </c>
      <c r="D619" s="207" t="inlineStr">
        <is>
          <t>CALC!D493</t>
        </is>
      </c>
      <c r="E619" s="247" t="inlineStr">
        <is>
          <t>CALC!E493</t>
        </is>
      </c>
      <c r="F619" s="201" t="inlineStr">
        <is>
          <t>INVERTED: ↓ = good</t>
        </is>
      </c>
    </row>
    <row r="620">
      <c r="B620" s="243" t="inlineStr">
        <is>
          <t>Net Worth MoM</t>
        </is>
      </c>
      <c r="C620" s="211" t="inlineStr">
        <is>
          <t>CALC!C494</t>
        </is>
      </c>
      <c r="D620" s="205" t="inlineStr">
        <is>
          <t>CALC!D494</t>
        </is>
      </c>
      <c r="E620" s="243" t="inlineStr">
        <is>
          <t>CALC!E494</t>
        </is>
      </c>
      <c r="F620" s="198" t="inlineStr">
        <is>
          <t>Normal: ↑ = good</t>
        </is>
      </c>
    </row>
    <row r="623" ht="16" customHeight="1">
      <c r="B623" s="194" t="inlineStr">
        <is>
          <t>10C · CHART DATA SOURCE ADDRESSES</t>
        </is>
      </c>
      <c r="C623" s="107" t="n"/>
      <c r="D623" s="107" t="n"/>
      <c r="E623" s="107" t="n"/>
      <c r="F623" s="107" t="n"/>
      <c r="G623" s="107" t="n"/>
      <c r="H623" s="107" t="n"/>
      <c r="I623" s="107" t="n"/>
      <c r="J623" s="108" t="n"/>
    </row>
    <row r="624">
      <c r="B624" s="232" t="inlineStr">
        <is>
          <t>Chart</t>
        </is>
      </c>
      <c r="C624" s="232" t="inlineStr">
        <is>
          <t>Data Range</t>
        </is>
      </c>
      <c r="D624" s="232" t="inlineStr">
        <is>
          <t>Notes</t>
        </is>
      </c>
    </row>
    <row r="625">
      <c r="B625" s="198" t="inlineStr">
        <is>
          <t>Monthly card spend line chart</t>
        </is>
      </c>
      <c r="C625" s="211" t="inlineStr">
        <is>
          <t>CALC!B269:C274</t>
        </is>
      </c>
      <c r="D625" s="243" t="inlineStr">
        <is>
          <t>X=month, Y=card spend, descending</t>
        </is>
      </c>
    </row>
    <row r="626">
      <c r="B626" s="201" t="inlineStr">
        <is>
          <t>Category bar chart</t>
        </is>
      </c>
      <c r="C626" s="256" t="inlineStr">
        <is>
          <t>CALC!B308:C318</t>
        </is>
      </c>
      <c r="D626" s="247" t="inlineStr">
        <is>
          <t>X=category label, Y=total spend</t>
        </is>
      </c>
    </row>
    <row r="627">
      <c r="B627" s="198" t="inlineStr">
        <is>
          <t>Institution bubble chart</t>
        </is>
      </c>
      <c r="C627" s="211" t="inlineStr">
        <is>
          <t>CALC!B513:I518</t>
        </is>
      </c>
      <c r="D627" s="243" t="inlineStr">
        <is>
          <t>X/Y/Size from cols C/D/E</t>
        </is>
      </c>
    </row>
    <row r="628">
      <c r="B628" s="201" t="inlineStr">
        <is>
          <t>Category bubble chart</t>
        </is>
      </c>
      <c r="C628" s="256" t="inlineStr">
        <is>
          <t>CALC!B523:I533</t>
        </is>
      </c>
      <c r="D628" s="247" t="inlineStr">
        <is>
          <t>X/Y/Size from cols C/D/E</t>
        </is>
      </c>
    </row>
    <row r="629">
      <c r="B629" s="198" t="inlineStr">
        <is>
          <t>FX ops ranked bar</t>
        </is>
      </c>
      <c r="C629" s="211" t="inlineStr">
        <is>
          <t>CALC!B401:F415</t>
        </is>
      </c>
      <c r="D629" s="243" t="inlineStr">
        <is>
          <t>X=institution, Y=BRL amount</t>
        </is>
      </c>
    </row>
    <row r="630">
      <c r="B630" s="201" t="inlineStr">
        <is>
          <t>Subscription cost bar</t>
        </is>
      </c>
      <c r="C630" s="256" t="inlineStr">
        <is>
          <t>CALC!B420:F434</t>
        </is>
      </c>
      <c r="D630" s="247" t="inlineStr">
        <is>
          <t>X=service, Y=monthly BRL</t>
        </is>
      </c>
    </row>
    <row r="631">
      <c r="B631" s="198" t="inlineStr">
        <is>
          <t>Sub billing sparkline (win/loss)</t>
        </is>
      </c>
      <c r="C631" s="211" t="inlineStr">
        <is>
          <t>CALC!B569:J583</t>
        </is>
      </c>
      <c r="D631" s="243" t="inlineStr">
        <is>
          <t>cols C:H = Jan–Jun 0/1</t>
        </is>
      </c>
    </row>
    <row r="632">
      <c r="B632" s="201" t="inlineStr">
        <is>
          <t>Card spend sparkline (line)</t>
        </is>
      </c>
      <c r="C632" s="256" t="inlineStr">
        <is>
          <t>CALC!B587:H589</t>
        </is>
      </c>
      <c r="D632" s="247" t="inlineStr">
        <is>
          <t>cols C:H = Jan–Jun values</t>
        </is>
      </c>
    </row>
    <row r="633">
      <c r="B633" s="198" t="inlineStr">
        <is>
          <t>MoM signal table</t>
        </is>
      </c>
      <c r="C633" s="211" t="inlineStr">
        <is>
          <t>CALC!B488:G494</t>
        </is>
      </c>
      <c r="D633" s="243" t="inlineStr">
        <is>
          <t>cols C=icon, D=text</t>
        </is>
      </c>
    </row>
    <row r="634">
      <c r="B634" s="201" t="inlineStr">
        <is>
          <t>KPI health table</t>
        </is>
      </c>
      <c r="C634" s="256" t="inlineStr">
        <is>
          <t>CALC!B499:G505</t>
        </is>
      </c>
      <c r="D634" s="247" t="inlineStr">
        <is>
          <t>cols C=current, F=health</t>
        </is>
      </c>
    </row>
  </sheetData>
  <mergeCells count="148">
    <mergeCell ref="B230:K230"/>
    <mergeCell ref="B151:J151"/>
    <mergeCell ref="B257:K257"/>
    <mergeCell ref="B254:K254"/>
    <mergeCell ref="B1:J1"/>
    <mergeCell ref="B241:K241"/>
    <mergeCell ref="B477:K477"/>
    <mergeCell ref="B256:K256"/>
    <mergeCell ref="B369:K369"/>
    <mergeCell ref="B191:J191"/>
    <mergeCell ref="B205:J205"/>
    <mergeCell ref="B368:K368"/>
    <mergeCell ref="B211:J211"/>
    <mergeCell ref="B456:J456"/>
    <mergeCell ref="B483:K483"/>
    <mergeCell ref="B177:J177"/>
    <mergeCell ref="B291:K291"/>
    <mergeCell ref="B475:K475"/>
    <mergeCell ref="B511:J511"/>
    <mergeCell ref="B63:J63"/>
    <mergeCell ref="B197:J197"/>
    <mergeCell ref="B154:J154"/>
    <mergeCell ref="B212:J212"/>
    <mergeCell ref="B219:K219"/>
    <mergeCell ref="B206:J206"/>
    <mergeCell ref="B259:K259"/>
    <mergeCell ref="B293:K293"/>
    <mergeCell ref="B200:J200"/>
    <mergeCell ref="B209:J209"/>
    <mergeCell ref="B140:J140"/>
    <mergeCell ref="B267:K267"/>
    <mergeCell ref="B521:J521"/>
    <mergeCell ref="B2:J2"/>
    <mergeCell ref="B195:J195"/>
    <mergeCell ref="B593:K593"/>
    <mergeCell ref="B304:K304"/>
    <mergeCell ref="B360:K360"/>
    <mergeCell ref="B372:K372"/>
    <mergeCell ref="B157:J157"/>
    <mergeCell ref="B53:J53"/>
    <mergeCell ref="B320:I320"/>
    <mergeCell ref="B359:K359"/>
    <mergeCell ref="B251:K251"/>
    <mergeCell ref="B196:J196"/>
    <mergeCell ref="B296:K296"/>
    <mergeCell ref="B361:K361"/>
    <mergeCell ref="B218:K218"/>
    <mergeCell ref="B158:J158"/>
    <mergeCell ref="B486:J486"/>
    <mergeCell ref="B614:J614"/>
    <mergeCell ref="B295:K295"/>
    <mergeCell ref="B142:J142"/>
    <mergeCell ref="B213:J213"/>
    <mergeCell ref="B497:J497"/>
    <mergeCell ref="B418:J418"/>
    <mergeCell ref="B549:J549"/>
    <mergeCell ref="B263:K263"/>
    <mergeCell ref="B306:J306"/>
    <mergeCell ref="B297:K297"/>
    <mergeCell ref="B508:K508"/>
    <mergeCell ref="B144:J144"/>
    <mergeCell ref="B153:J153"/>
    <mergeCell ref="B229:K229"/>
    <mergeCell ref="B194:J194"/>
    <mergeCell ref="B299:K299"/>
    <mergeCell ref="B121:J121"/>
    <mergeCell ref="B258:K258"/>
    <mergeCell ref="B349:K349"/>
    <mergeCell ref="B214:J214"/>
    <mergeCell ref="B363:K363"/>
    <mergeCell ref="B476:K476"/>
    <mergeCell ref="B210:J210"/>
    <mergeCell ref="B364:K364"/>
    <mergeCell ref="B373:K373"/>
    <mergeCell ref="B260:K260"/>
    <mergeCell ref="B567:J567"/>
    <mergeCell ref="B300:K300"/>
    <mergeCell ref="B478:K478"/>
    <mergeCell ref="B536:K536"/>
    <mergeCell ref="B437:J437"/>
    <mergeCell ref="B148:J148"/>
    <mergeCell ref="B342:J342"/>
    <mergeCell ref="B277:K277"/>
    <mergeCell ref="B479:K479"/>
    <mergeCell ref="B375:J375"/>
    <mergeCell ref="B187:J187"/>
    <mergeCell ref="B143:J143"/>
    <mergeCell ref="B595:J595"/>
    <mergeCell ref="B189:J189"/>
    <mergeCell ref="B204:J204"/>
    <mergeCell ref="B198:J198"/>
    <mergeCell ref="B585:J585"/>
    <mergeCell ref="B188:J188"/>
    <mergeCell ref="B4:J4"/>
    <mergeCell ref="B262:K262"/>
    <mergeCell ref="B362:K362"/>
    <mergeCell ref="B150:J150"/>
    <mergeCell ref="B190:J190"/>
    <mergeCell ref="B202:J202"/>
    <mergeCell ref="B290:K290"/>
    <mergeCell ref="B199:J199"/>
    <mergeCell ref="B367:K367"/>
    <mergeCell ref="B96:J96"/>
    <mergeCell ref="B152:J152"/>
    <mergeCell ref="B288:K288"/>
    <mergeCell ref="B332:J332"/>
    <mergeCell ref="B539:J539"/>
    <mergeCell ref="B298:K298"/>
    <mergeCell ref="B145:J145"/>
    <mergeCell ref="B322:J322"/>
    <mergeCell ref="B565:K565"/>
    <mergeCell ref="B623:J623"/>
    <mergeCell ref="B266:K266"/>
    <mergeCell ref="B73:J73"/>
    <mergeCell ref="B564:K564"/>
    <mergeCell ref="B82:J82"/>
    <mergeCell ref="B147:J147"/>
    <mergeCell ref="B146:J146"/>
    <mergeCell ref="B252:K252"/>
    <mergeCell ref="B192:J192"/>
    <mergeCell ref="B365:K365"/>
    <mergeCell ref="B261:K261"/>
    <mergeCell ref="B201:J201"/>
    <mergeCell ref="B292:K292"/>
    <mergeCell ref="B139:J139"/>
    <mergeCell ref="B366:K366"/>
    <mergeCell ref="B537:K537"/>
    <mergeCell ref="B207:J207"/>
    <mergeCell ref="B294:K294"/>
    <mergeCell ref="B203:J203"/>
    <mergeCell ref="B350:K350"/>
    <mergeCell ref="B399:J399"/>
    <mergeCell ref="B303:K303"/>
    <mergeCell ref="B509:K509"/>
    <mergeCell ref="B592:K592"/>
    <mergeCell ref="B484:K484"/>
    <mergeCell ref="B253:K253"/>
    <mergeCell ref="B287:K287"/>
    <mergeCell ref="B358:K358"/>
    <mergeCell ref="B480:K480"/>
    <mergeCell ref="B141:J141"/>
    <mergeCell ref="B250:K250"/>
    <mergeCell ref="B193:J193"/>
    <mergeCell ref="B114:C114"/>
    <mergeCell ref="B149:J149"/>
    <mergeCell ref="B215:J215"/>
    <mergeCell ref="B289:K289"/>
    <mergeCell ref="B12:J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6A4F"/>
    <outlinePr summaryBelow="1" summaryRight="1"/>
    <pageSetUpPr/>
  </sheetPr>
  <dimension ref="B1:G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6" customWidth="1" min="4" max="4"/>
    <col width="16" customWidth="1" min="5" max="5"/>
    <col width="16" customWidth="1" min="6" max="6"/>
    <col width="20" customWidth="1" min="7" max="7"/>
    <col width="2" customWidth="1" min="8" max="8"/>
  </cols>
  <sheetData>
    <row r="1" ht="30" customHeight="1">
      <c r="B1" s="27" t="inlineStr">
        <is>
          <t xml:space="preserve">  BALANCE SHEET  ·  Eduardo Forster Giovannini  ·  Jul 2026</t>
        </is>
      </c>
      <c r="C1" s="4" t="n"/>
      <c r="D1" s="4" t="n"/>
      <c r="E1" s="4" t="n"/>
      <c r="F1" s="4" t="n"/>
      <c r="G1" s="5" t="n"/>
    </row>
    <row r="3" ht="16" customHeight="1">
      <c r="B3" s="28" t="inlineStr">
        <is>
          <t xml:space="preserve">  LIQUID ASSETS</t>
        </is>
      </c>
      <c r="C3" s="29" t="n"/>
      <c r="D3" s="29" t="n"/>
      <c r="E3" s="29" t="n"/>
      <c r="F3" s="29" t="n"/>
      <c r="G3" s="30" t="n"/>
    </row>
    <row r="4" ht="18" customHeight="1">
      <c r="B4" s="11" t="inlineStr">
        <is>
          <t>Institution</t>
        </is>
      </c>
      <c r="C4" s="11" t="inlineStr">
        <is>
          <t>Type</t>
        </is>
      </c>
      <c r="D4" s="11" t="inlineStr">
        <is>
          <t>Balance (R$)</t>
        </is>
      </c>
      <c r="E4" s="11" t="inlineStr">
        <is>
          <t>Confirmed</t>
        </is>
      </c>
      <c r="F4" s="11" t="inlineStr">
        <is>
          <t>Notes</t>
        </is>
      </c>
      <c r="G4" s="11" t="inlineStr">
        <is>
          <t>Status</t>
        </is>
      </c>
    </row>
    <row r="5">
      <c r="B5" s="31" t="inlineStr">
        <is>
          <t>Banco Inter</t>
        </is>
      </c>
      <c r="C5" s="32" t="inlineStr">
        <is>
          <t>Digital</t>
        </is>
      </c>
      <c r="D5" s="33" t="n">
        <v>18934.67</v>
      </c>
      <c r="E5" s="32" t="inlineStr">
        <is>
          <t>13/Jul/2026</t>
        </is>
      </c>
      <c r="F5" s="32" t="inlineStr">
        <is>
          <t>Conta 6627102  ·  R$18,922 disponível + R$12,60 bloqueado</t>
        </is>
      </c>
      <c r="G5" s="32" t="inlineStr">
        <is>
          <t>✅ Confirmed</t>
        </is>
      </c>
    </row>
    <row r="6">
      <c r="B6" s="34" t="inlineStr">
        <is>
          <t>Mercado Pago</t>
        </is>
      </c>
      <c r="C6" s="35" t="inlineStr">
        <is>
          <t>Digital</t>
        </is>
      </c>
      <c r="D6" s="36" t="n">
        <v>4262.23</v>
      </c>
      <c r="E6" s="35" t="inlineStr">
        <is>
          <t>12/Jul/2026</t>
        </is>
      </c>
      <c r="F6" s="35" t="inlineStr">
        <is>
          <t>Extrato MP PDF 01–12/Jul/2026</t>
        </is>
      </c>
      <c r="G6" s="35" t="inlineStr">
        <is>
          <t>✅ Confirmed</t>
        </is>
      </c>
    </row>
    <row r="7">
      <c r="B7" s="31" t="inlineStr">
        <is>
          <t>BB Brasil</t>
        </is>
      </c>
      <c r="C7" s="32" t="inlineStr">
        <is>
          <t>Checking</t>
        </is>
      </c>
      <c r="D7" s="33" t="n">
        <v>0</v>
      </c>
      <c r="E7" s="32" t="inlineStr">
        <is>
          <t>13/Jul/2026</t>
        </is>
      </c>
      <c r="F7" s="32" t="inlineStr">
        <is>
          <t>Rende Fácil not in export</t>
        </is>
      </c>
      <c r="G7" s="32" t="inlineStr">
        <is>
          <t>✅ Confirmed</t>
        </is>
      </c>
    </row>
    <row r="8">
      <c r="B8" s="34" t="inlineStr">
        <is>
          <t>BCB Registrato</t>
        </is>
      </c>
      <c r="C8" s="35" t="inlineStr">
        <is>
          <t>Registry</t>
        </is>
      </c>
      <c r="D8" s="36" t="n">
        <v>0</v>
      </c>
      <c r="E8" s="35" t="inlineStr">
        <is>
          <t>29/Jun/2026</t>
        </is>
      </c>
      <c r="F8" s="35" t="inlineStr">
        <is>
          <t>CCS registry only — no cash balance</t>
        </is>
      </c>
      <c r="G8" s="35" t="inlineStr">
        <is>
          <t>ℹ Registry</t>
        </is>
      </c>
    </row>
    <row r="9" ht="16" customHeight="1">
      <c r="B9" s="37" t="inlineStr">
        <is>
          <t xml:space="preserve">  TOTAL LIQUID  →  R$ 23,196.90</t>
        </is>
      </c>
      <c r="C9" s="38" t="n"/>
      <c r="D9" s="38" t="n"/>
      <c r="E9" s="38" t="n"/>
      <c r="F9" s="38" t="n"/>
      <c r="G9" s="39" t="n"/>
    </row>
    <row r="11" ht="16" customHeight="1">
      <c r="B11" s="28" t="inlineStr">
        <is>
          <t xml:space="preserve">  INVESTMENT ASSETS  (Capital Deployed)</t>
        </is>
      </c>
      <c r="C11" s="29" t="n"/>
      <c r="D11" s="29" t="n"/>
      <c r="E11" s="29" t="n"/>
      <c r="F11" s="29" t="n"/>
      <c r="G11" s="30" t="n"/>
    </row>
    <row r="12" ht="18" customHeight="1">
      <c r="B12" s="11" t="inlineStr">
        <is>
          <t>Instrument</t>
        </is>
      </c>
      <c r="C12" s="11" t="inlineStr">
        <is>
          <t>Currency</t>
        </is>
      </c>
      <c r="D12" s="11" t="inlineStr">
        <is>
          <t>BRL Equiv.</t>
        </is>
      </c>
      <c r="E12" s="11" t="inlineStr">
        <is>
          <t>Period</t>
        </is>
      </c>
      <c r="F12" s="11" t="inlineStr">
        <is>
          <t>Notes</t>
        </is>
      </c>
      <c r="G12" s="11" t="inlineStr">
        <is>
          <t>Status</t>
        </is>
      </c>
    </row>
    <row r="13">
      <c r="B13" s="31" t="inlineStr">
        <is>
          <t>Interactive Brokers — Net Deposits</t>
        </is>
      </c>
      <c r="C13" s="32" t="inlineStr">
        <is>
          <t>USD</t>
        </is>
      </c>
      <c r="D13" s="33" t="n">
        <v>197706.57</v>
      </c>
      <c r="E13" s="32" t="inlineStr">
        <is>
          <t>Jan–Jun 2026</t>
        </is>
      </c>
      <c r="F13" s="32" t="inlineStr">
        <is>
          <t>8 deposit operations via Topázio + Wise</t>
        </is>
      </c>
      <c r="G13" s="32" t="inlineStr">
        <is>
          <t>📈 Deployed</t>
        </is>
      </c>
    </row>
    <row r="14">
      <c r="B14" s="34" t="inlineStr">
        <is>
          <t>IB Withdrawal (returned)</t>
        </is>
      </c>
      <c r="C14" s="35" t="inlineStr">
        <is>
          <t>USD</t>
        </is>
      </c>
      <c r="D14" s="40" t="n">
        <v>-19195.81</v>
      </c>
      <c r="E14" s="35" t="inlineStr">
        <is>
          <t>Jun 2026</t>
        </is>
      </c>
      <c r="F14" s="35" t="inlineStr">
        <is>
          <t>R$19,195 returned via Wise — confirm destination</t>
        </is>
      </c>
      <c r="G14" s="35" t="inlineStr">
        <is>
          <t>⚠ Verify</t>
        </is>
      </c>
    </row>
    <row r="15">
      <c r="B15" s="31" t="inlineStr">
        <is>
          <t>Fundos BRL — Topázio</t>
        </is>
      </c>
      <c r="C15" s="32" t="inlineStr">
        <is>
          <t>BRL</t>
        </is>
      </c>
      <c r="D15" s="33" t="n">
        <v>175765.83</v>
      </c>
      <c r="E15" s="32" t="inlineStr">
        <is>
          <t>May–Jun 2026</t>
        </is>
      </c>
      <c r="F15" s="32" t="inlineStr">
        <is>
          <t>3 deposits: R$45k + R$78k + R$52k</t>
        </is>
      </c>
      <c r="G15" s="32" t="inlineStr">
        <is>
          <t>📈 Deployed</t>
        </is>
      </c>
    </row>
    <row r="16" ht="16" customHeight="1">
      <c r="B16" s="41" t="inlineStr">
        <is>
          <t xml:space="preserve">  TOTAL INVESTMENTS  →  R$ 335,080.78</t>
        </is>
      </c>
      <c r="C16" s="42" t="n"/>
      <c r="D16" s="42" t="n"/>
      <c r="E16" s="42" t="n"/>
      <c r="F16" s="42" t="n"/>
      <c r="G16" s="43" t="n"/>
    </row>
    <row r="18" ht="16" customHeight="1">
      <c r="B18" s="28" t="inlineStr">
        <is>
          <t xml:space="preserve">  FX OUTFLOWS  —  Self-Transfers to USA (Own Account)</t>
        </is>
      </c>
      <c r="C18" s="29" t="n"/>
      <c r="D18" s="29" t="n"/>
      <c r="E18" s="29" t="n"/>
      <c r="F18" s="29" t="n"/>
      <c r="G18" s="30" t="n"/>
    </row>
    <row r="19" ht="18" customHeight="1">
      <c r="B19" s="11" t="inlineStr">
        <is>
          <t>Date</t>
        </is>
      </c>
      <c r="C19" s="11" t="inlineStr">
        <is>
          <t>Institution</t>
        </is>
      </c>
      <c r="D19" s="11" t="inlineStr">
        <is>
          <t>USD Sent</t>
        </is>
      </c>
      <c r="E19" s="11" t="inlineStr">
        <is>
          <t>BRL Cost</t>
        </is>
      </c>
      <c r="F19" s="11" t="inlineStr">
        <is>
          <t>FX Rate</t>
        </is>
      </c>
      <c r="G19" s="11" t="inlineStr">
        <is>
          <t>Notes</t>
        </is>
      </c>
    </row>
    <row r="20">
      <c r="B20" s="187" t="n">
        <v>46049</v>
      </c>
      <c r="C20" s="35" t="inlineStr">
        <is>
          <t>BB Brasil</t>
        </is>
      </c>
      <c r="D20" s="45" t="n">
        <v>3000</v>
      </c>
      <c r="E20" s="36" t="n">
        <v>15886.01</v>
      </c>
      <c r="F20" s="46" t="n">
        <v>5.2953</v>
      </c>
      <c r="G20" s="35" t="inlineStr">
        <is>
          <t>67995 Self-transfer</t>
        </is>
      </c>
    </row>
    <row r="21">
      <c r="B21" s="188" t="n">
        <v>46052</v>
      </c>
      <c r="C21" s="32" t="inlineStr">
        <is>
          <t>BB Brasil</t>
        </is>
      </c>
      <c r="D21" s="48" t="n">
        <v>3000</v>
      </c>
      <c r="E21" s="33" t="n">
        <v>16063.89</v>
      </c>
      <c r="F21" s="49" t="n">
        <v>5.3546</v>
      </c>
      <c r="G21" s="32" t="inlineStr">
        <is>
          <t>67995 Self-transfer</t>
        </is>
      </c>
    </row>
    <row r="22">
      <c r="B22" s="187" t="n">
        <v>46062</v>
      </c>
      <c r="C22" s="35" t="inlineStr">
        <is>
          <t>BB Brasil</t>
        </is>
      </c>
      <c r="D22" s="45" t="n">
        <v>3000</v>
      </c>
      <c r="E22" s="36" t="n">
        <v>15868.79</v>
      </c>
      <c r="F22" s="46" t="n">
        <v>5.2896</v>
      </c>
      <c r="G22" s="35" t="inlineStr">
        <is>
          <t>67995 Self-transfer</t>
        </is>
      </c>
    </row>
    <row r="23">
      <c r="B23" s="188" t="n">
        <v>46064</v>
      </c>
      <c r="C23" s="32" t="inlineStr">
        <is>
          <t>BB Brasil</t>
        </is>
      </c>
      <c r="D23" s="48" t="n">
        <v>3000</v>
      </c>
      <c r="E23" s="33" t="n">
        <v>15789.96</v>
      </c>
      <c r="F23" s="49" t="n">
        <v>5.2633</v>
      </c>
      <c r="G23" s="32" t="inlineStr">
        <is>
          <t>67995 Self-transfer</t>
        </is>
      </c>
    </row>
    <row r="24">
      <c r="B24" s="187" t="n">
        <v>46084</v>
      </c>
      <c r="C24" s="35" t="inlineStr">
        <is>
          <t>BB Brasil</t>
        </is>
      </c>
      <c r="D24" s="45" t="n">
        <v>3000</v>
      </c>
      <c r="E24" s="36" t="n">
        <v>16024.35</v>
      </c>
      <c r="F24" s="46" t="n">
        <v>5.3414</v>
      </c>
      <c r="G24" s="35" t="inlineStr">
        <is>
          <t>67995 Self-transfer</t>
        </is>
      </c>
    </row>
    <row r="25">
      <c r="B25" s="188" t="n">
        <v>46094</v>
      </c>
      <c r="C25" s="32" t="inlineStr">
        <is>
          <t>BB Brasil</t>
        </is>
      </c>
      <c r="D25" s="48" t="n">
        <v>3000</v>
      </c>
      <c r="E25" s="33" t="n">
        <v>15877.18</v>
      </c>
      <c r="F25" s="49" t="n">
        <v>5.2924</v>
      </c>
      <c r="G25" s="32" t="inlineStr">
        <is>
          <t>67995 Self-transfer</t>
        </is>
      </c>
    </row>
    <row r="26">
      <c r="B26" s="187" t="n">
        <v>46099</v>
      </c>
      <c r="C26" s="35" t="inlineStr">
        <is>
          <t>BB Brasil</t>
        </is>
      </c>
      <c r="D26" s="45" t="n">
        <v>3000</v>
      </c>
      <c r="E26" s="36" t="n">
        <v>15963.15</v>
      </c>
      <c r="F26" s="46" t="n">
        <v>5.3211</v>
      </c>
      <c r="G26" s="35" t="inlineStr">
        <is>
          <t>67995 Self-transfer</t>
        </is>
      </c>
    </row>
    <row r="27">
      <c r="B27" s="188" t="n">
        <v>46134</v>
      </c>
      <c r="C27" s="32" t="inlineStr">
        <is>
          <t>BB Brasil</t>
        </is>
      </c>
      <c r="D27" s="48" t="n">
        <v>3000</v>
      </c>
      <c r="E27" s="33" t="n">
        <v>15878.08</v>
      </c>
      <c r="F27" s="49" t="n">
        <v>5.2927</v>
      </c>
      <c r="G27" s="32" t="inlineStr">
        <is>
          <t>67995 Self-transfer</t>
        </is>
      </c>
    </row>
    <row r="28">
      <c r="B28" s="187" t="n">
        <v>46149</v>
      </c>
      <c r="C28" s="35" t="inlineStr">
        <is>
          <t>BB Brasil</t>
        </is>
      </c>
      <c r="D28" s="45" t="n">
        <v>3000</v>
      </c>
      <c r="E28" s="36" t="n">
        <v>15132.89</v>
      </c>
      <c r="F28" s="46" t="n">
        <v>5.0443</v>
      </c>
      <c r="G28" s="35" t="inlineStr">
        <is>
          <t>67995 Self-transfer</t>
        </is>
      </c>
    </row>
    <row r="29">
      <c r="B29" s="188" t="n">
        <v>46149</v>
      </c>
      <c r="C29" s="32" t="inlineStr">
        <is>
          <t>Banco Inter</t>
        </is>
      </c>
      <c r="D29" s="48" t="n">
        <v>5000</v>
      </c>
      <c r="E29" s="33" t="n">
        <v>24939.84</v>
      </c>
      <c r="F29" s="49" t="n">
        <v>4.988</v>
      </c>
      <c r="G29" s="32" t="inlineStr">
        <is>
          <t>67995 Self-transfer via Inter</t>
        </is>
      </c>
    </row>
    <row r="30">
      <c r="B30" s="187" t="n">
        <v>46153</v>
      </c>
      <c r="C30" s="35" t="inlineStr">
        <is>
          <t>Banco Inter</t>
        </is>
      </c>
      <c r="D30" s="45" t="n">
        <v>15000</v>
      </c>
      <c r="E30" s="36" t="n">
        <v>74340.39999999999</v>
      </c>
      <c r="F30" s="46" t="n">
        <v>4.956</v>
      </c>
      <c r="G30" s="35" t="inlineStr">
        <is>
          <t>67995 Self-transfer via Inter</t>
        </is>
      </c>
    </row>
    <row r="31">
      <c r="B31" s="188" t="n">
        <v>46157</v>
      </c>
      <c r="C31" s="32" t="inlineStr">
        <is>
          <t>BB Brasil</t>
        </is>
      </c>
      <c r="D31" s="48" t="n">
        <v>500</v>
      </c>
      <c r="E31" s="33" t="n">
        <v>2577.87</v>
      </c>
      <c r="F31" s="49" t="n">
        <v>5.1558</v>
      </c>
      <c r="G31" s="32" t="inlineStr">
        <is>
          <t>67995 Self-transfer</t>
        </is>
      </c>
    </row>
    <row r="32">
      <c r="B32" s="187" t="n">
        <v>46157</v>
      </c>
      <c r="C32" s="35" t="inlineStr">
        <is>
          <t>Wise Brasil</t>
        </is>
      </c>
      <c r="D32" s="45" t="n">
        <v>250</v>
      </c>
      <c r="E32" s="36" t="n">
        <v>1246.27</v>
      </c>
      <c r="F32" s="46" t="n">
        <v>4.9851</v>
      </c>
      <c r="G32" s="35" t="inlineStr">
        <is>
          <t>67995 Wise UK</t>
        </is>
      </c>
    </row>
    <row r="33">
      <c r="B33" s="188" t="n">
        <v>46160</v>
      </c>
      <c r="C33" s="32" t="inlineStr">
        <is>
          <t>BB Brasil</t>
        </is>
      </c>
      <c r="D33" s="48" t="n">
        <v>200</v>
      </c>
      <c r="E33" s="33" t="n">
        <v>1019.15</v>
      </c>
      <c r="F33" s="49" t="n">
        <v>5.0958</v>
      </c>
      <c r="G33" s="32" t="inlineStr">
        <is>
          <t>67995 Self-transfer</t>
        </is>
      </c>
    </row>
    <row r="34">
      <c r="B34" s="187" t="n">
        <v>46168</v>
      </c>
      <c r="C34" s="35" t="inlineStr">
        <is>
          <t>BB Brasil</t>
        </is>
      </c>
      <c r="D34" s="45" t="n">
        <v>10000</v>
      </c>
      <c r="E34" s="36" t="n">
        <v>51027.68</v>
      </c>
      <c r="F34" s="46" t="n">
        <v>5.1028</v>
      </c>
      <c r="G34" s="35" t="inlineStr">
        <is>
          <t>67995 Self-transfer</t>
        </is>
      </c>
    </row>
    <row r="35">
      <c r="B35" s="188" t="n">
        <v>46170</v>
      </c>
      <c r="C35" s="32" t="inlineStr">
        <is>
          <t>BB Brasil</t>
        </is>
      </c>
      <c r="D35" s="48" t="n">
        <v>5000</v>
      </c>
      <c r="E35" s="33" t="n">
        <v>25650.76</v>
      </c>
      <c r="F35" s="49" t="n">
        <v>5.1302</v>
      </c>
      <c r="G35" s="32" t="inlineStr">
        <is>
          <t>67995 Self-transfer</t>
        </is>
      </c>
    </row>
    <row r="36">
      <c r="B36" s="187" t="n">
        <v>46178</v>
      </c>
      <c r="C36" s="35" t="inlineStr">
        <is>
          <t>Wise Brasil</t>
        </is>
      </c>
      <c r="D36" s="45" t="n">
        <v>100</v>
      </c>
      <c r="E36" s="36" t="n">
        <v>514.21</v>
      </c>
      <c r="F36" s="46" t="n">
        <v>5.1421</v>
      </c>
      <c r="G36" s="35" t="inlineStr">
        <is>
          <t>67995 Wise UK</t>
        </is>
      </c>
    </row>
    <row r="37">
      <c r="B37" s="188" t="n">
        <v>46195</v>
      </c>
      <c r="C37" s="32" t="inlineStr">
        <is>
          <t>BB Brasil</t>
        </is>
      </c>
      <c r="D37" s="48" t="n">
        <v>46229.38</v>
      </c>
      <c r="E37" s="33" t="n">
        <v>241545.87</v>
      </c>
      <c r="F37" s="49" t="n">
        <v>5.2245</v>
      </c>
      <c r="G37" s="32" t="inlineStr">
        <is>
          <t>67995 Self-transfer</t>
        </is>
      </c>
    </row>
    <row r="38">
      <c r="B38" s="187" t="n">
        <v>46195</v>
      </c>
      <c r="C38" s="35" t="inlineStr">
        <is>
          <t>Wise Brasil</t>
        </is>
      </c>
      <c r="D38" s="45" t="n">
        <v>17000</v>
      </c>
      <c r="E38" s="36" t="n">
        <v>87442.25999999999</v>
      </c>
      <c r="F38" s="46" t="n">
        <v>5.1436</v>
      </c>
      <c r="G38" s="35" t="inlineStr">
        <is>
          <t>67995 Wise UK</t>
        </is>
      </c>
    </row>
    <row r="39" ht="16" customHeight="1">
      <c r="B39" s="50" t="inlineStr">
        <is>
          <t xml:space="preserve">  TOTAL USD OUTBOUND  →  USD 126,279  ·  R$ 652,788.61</t>
        </is>
      </c>
      <c r="C39" s="51" t="n"/>
      <c r="D39" s="51" t="n"/>
      <c r="E39" s="51" t="n"/>
      <c r="F39" s="51" t="n"/>
      <c r="G39" s="52" t="n"/>
    </row>
    <row r="41" ht="24" customHeight="1">
      <c r="B41" s="53" t="inlineStr">
        <is>
          <t xml:space="preserve">  ESTIMATED NET WORTH</t>
        </is>
      </c>
      <c r="C41" s="4" t="n"/>
      <c r="D41" s="4" t="n"/>
      <c r="E41" s="4" t="n"/>
      <c r="F41" s="4" t="n"/>
      <c r="G41" s="5" t="n"/>
    </row>
    <row r="42" ht="18" customHeight="1">
      <c r="B42" s="54" t="inlineStr">
        <is>
          <t>Liquid Assets</t>
        </is>
      </c>
      <c r="C42" s="55" t="inlineStr"/>
      <c r="D42" s="56" t="n">
        <v>23196.9</v>
      </c>
    </row>
    <row r="43" ht="18" customHeight="1">
      <c r="B43" s="54" t="inlineStr">
        <is>
          <t>Investment Assets (net)</t>
        </is>
      </c>
      <c r="C43" s="55" t="inlineStr"/>
      <c r="D43" s="56" t="n">
        <v>335080.78</v>
      </c>
    </row>
    <row r="44" ht="22" customHeight="1">
      <c r="B44" s="57" t="inlineStr">
        <is>
          <t>ESTIMATED NET WORTH</t>
        </is>
      </c>
      <c r="C44" s="58" t="inlineStr"/>
      <c r="D44" s="59" t="n">
        <v>358277.6800000001</v>
      </c>
    </row>
  </sheetData>
  <mergeCells count="8">
    <mergeCell ref="B3:G3"/>
    <mergeCell ref="B16:G16"/>
    <mergeCell ref="B9:G9"/>
    <mergeCell ref="B41:G41"/>
    <mergeCell ref="B1:G1"/>
    <mergeCell ref="B18:G18"/>
    <mergeCell ref="B39:G39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4A6B"/>
    <outlinePr summaryBelow="1" summaryRight="1"/>
    <pageSetUpPr/>
  </sheetPr>
  <dimension ref="B1:I2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22" customWidth="1" min="4" max="4"/>
    <col width="18" customWidth="1" min="5" max="5"/>
    <col width="16" customWidth="1" min="6" max="6"/>
    <col width="14" customWidth="1" min="7" max="7"/>
    <col width="12" customWidth="1" min="8" max="8"/>
    <col width="14" customWidth="1" min="9" max="9"/>
    <col width="28" customWidth="1" min="10" max="10"/>
  </cols>
  <sheetData>
    <row r="1" ht="30" customHeight="1">
      <c r="B1" s="27" t="inlineStr">
        <is>
          <t xml:space="preserve">  CAPITAL FLOWS  ·  Jan–Jun 2026  ·  All Sources Unified</t>
        </is>
      </c>
      <c r="C1" s="4" t="n"/>
      <c r="D1" s="4" t="n"/>
      <c r="E1" s="4" t="n"/>
      <c r="F1" s="4" t="n"/>
      <c r="G1" s="4" t="n"/>
      <c r="H1" s="4" t="n"/>
      <c r="I1" s="5" t="n"/>
    </row>
    <row r="3" ht="16" customHeight="1">
      <c r="B3" s="28" t="inlineStr">
        <is>
          <t xml:space="preserve">  MONTHLY CASH FLOW SUMMARY</t>
        </is>
      </c>
      <c r="C3" s="29" t="n"/>
      <c r="D3" s="29" t="n"/>
      <c r="E3" s="29" t="n"/>
      <c r="F3" s="29" t="n"/>
      <c r="G3" s="29" t="n"/>
      <c r="H3" s="29" t="n"/>
      <c r="I3" s="30" t="n"/>
    </row>
    <row r="4" ht="18" customHeight="1">
      <c r="B4" s="11" t="inlineStr">
        <is>
          <t>Month</t>
        </is>
      </c>
      <c r="C4" s="11" t="inlineStr">
        <is>
          <t>Card Spend</t>
        </is>
      </c>
      <c r="D4" s="11" t="inlineStr">
        <is>
          <t>PIX In</t>
        </is>
      </c>
      <c r="E4" s="11" t="inlineStr">
        <is>
          <t>PIX Out</t>
        </is>
      </c>
      <c r="F4" s="11" t="inlineStr">
        <is>
          <t>FX Out</t>
        </is>
      </c>
      <c r="G4" s="11" t="inlineStr">
        <is>
          <t>FX In</t>
        </is>
      </c>
      <c r="H4" s="11" t="inlineStr">
        <is>
          <t>IOF</t>
        </is>
      </c>
      <c r="I4" s="11" t="inlineStr">
        <is>
          <t>Net Flow</t>
        </is>
      </c>
    </row>
    <row r="5">
      <c r="B5" s="60" t="inlineStr">
        <is>
          <t>2026-01</t>
        </is>
      </c>
      <c r="C5" s="33" t="n">
        <v>3745.4</v>
      </c>
      <c r="D5" s="33" t="n">
        <v>0</v>
      </c>
      <c r="E5" s="33" t="n">
        <v>0</v>
      </c>
      <c r="F5" s="33" t="n">
        <v>0</v>
      </c>
      <c r="G5" s="33" t="n">
        <v>0</v>
      </c>
      <c r="H5" s="33" t="n">
        <v>0</v>
      </c>
      <c r="I5" s="61" t="n">
        <v>-3745.4</v>
      </c>
    </row>
    <row r="6">
      <c r="B6" s="62" t="inlineStr">
        <is>
          <t>2026-02</t>
        </is>
      </c>
      <c r="C6" s="36" t="n">
        <v>9515.9</v>
      </c>
      <c r="D6" s="36" t="n">
        <v>40000</v>
      </c>
      <c r="E6" s="36" t="n">
        <v>0</v>
      </c>
      <c r="F6" s="36" t="n">
        <v>0</v>
      </c>
      <c r="G6" s="36" t="n">
        <v>0</v>
      </c>
      <c r="H6" s="36" t="n">
        <v>0</v>
      </c>
      <c r="I6" s="63" t="n">
        <v>30484.1</v>
      </c>
    </row>
    <row r="7">
      <c r="B7" s="60" t="inlineStr">
        <is>
          <t>2026-03</t>
        </is>
      </c>
      <c r="C7" s="33" t="n">
        <v>14231.47</v>
      </c>
      <c r="D7" s="33" t="n">
        <v>0</v>
      </c>
      <c r="E7" s="33" t="n">
        <v>11432.41</v>
      </c>
      <c r="F7" s="33" t="n">
        <v>0</v>
      </c>
      <c r="G7" s="33" t="n">
        <v>0</v>
      </c>
      <c r="H7" s="33" t="n">
        <v>0</v>
      </c>
      <c r="I7" s="61" t="n">
        <v>-25663.88</v>
      </c>
    </row>
    <row r="8">
      <c r="B8" s="62" t="inlineStr">
        <is>
          <t>2026-04</t>
        </is>
      </c>
      <c r="C8" s="36" t="n">
        <v>5330.44</v>
      </c>
      <c r="D8" s="36" t="n">
        <v>40000</v>
      </c>
      <c r="E8" s="36" t="n">
        <v>10330</v>
      </c>
      <c r="F8" s="36" t="n">
        <v>0</v>
      </c>
      <c r="G8" s="36" t="n">
        <v>0</v>
      </c>
      <c r="H8" s="36" t="n">
        <v>0</v>
      </c>
      <c r="I8" s="63" t="n">
        <v>24339.56</v>
      </c>
    </row>
    <row r="9">
      <c r="B9" s="60" t="inlineStr">
        <is>
          <t>2026-05</t>
        </is>
      </c>
      <c r="C9" s="33" t="n">
        <v>3308.38</v>
      </c>
      <c r="D9" s="33" t="n">
        <v>115000</v>
      </c>
      <c r="E9" s="33" t="n">
        <v>69919.97</v>
      </c>
      <c r="F9" s="33" t="n">
        <v>0</v>
      </c>
      <c r="G9" s="33" t="n">
        <v>0</v>
      </c>
      <c r="H9" s="33" t="n">
        <v>0</v>
      </c>
      <c r="I9" s="64" t="n">
        <v>41771.64999999999</v>
      </c>
    </row>
    <row r="10">
      <c r="B10" s="62" t="inlineStr">
        <is>
          <t>2026-06</t>
        </is>
      </c>
      <c r="C10" s="36" t="n">
        <v>1114.17</v>
      </c>
      <c r="D10" s="36" t="n">
        <v>42010</v>
      </c>
      <c r="E10" s="36" t="n">
        <v>480</v>
      </c>
      <c r="F10" s="36" t="n">
        <v>0</v>
      </c>
      <c r="G10" s="36" t="n">
        <v>98857</v>
      </c>
      <c r="H10" s="36" t="n">
        <v>0</v>
      </c>
      <c r="I10" s="63" t="n">
        <v>139272.83</v>
      </c>
    </row>
    <row r="13" ht="16" customHeight="1">
      <c r="B13" s="28" t="inlineStr">
        <is>
          <t xml:space="preserve">  TRANSACTION LOG  —  All Unified Movements</t>
        </is>
      </c>
      <c r="C13" s="29" t="n"/>
      <c r="D13" s="29" t="n"/>
      <c r="E13" s="29" t="n"/>
      <c r="F13" s="29" t="n"/>
      <c r="G13" s="29" t="n"/>
      <c r="H13" s="29" t="n"/>
      <c r="I13" s="30" t="n"/>
    </row>
    <row r="14" ht="18" customHeight="1">
      <c r="B14" s="11" t="inlineStr">
        <is>
          <t>Date</t>
        </is>
      </c>
      <c r="C14" s="11" t="inlineStr">
        <is>
          <t>Source</t>
        </is>
      </c>
      <c r="D14" s="11" t="inlineStr">
        <is>
          <t>Type</t>
        </is>
      </c>
      <c r="E14" s="11" t="inlineStr">
        <is>
          <t>Description</t>
        </is>
      </c>
      <c r="F14" s="11" t="inlineStr">
        <is>
          <t>BRL Amount</t>
        </is>
      </c>
      <c r="G14" s="11" t="inlineStr">
        <is>
          <t>CCY</t>
        </is>
      </c>
      <c r="H14" s="11" t="inlineStr">
        <is>
          <t>FX Rate</t>
        </is>
      </c>
      <c r="I14" s="11" t="inlineStr">
        <is>
          <t>Notes</t>
        </is>
      </c>
    </row>
    <row r="15">
      <c r="B15" s="189" t="n">
        <v>45531</v>
      </c>
      <c r="C15" s="66" t="inlineStr">
        <is>
          <t>Daycoval</t>
        </is>
      </c>
      <c r="D15" s="66" t="inlineStr">
        <is>
          <t>Travel FX</t>
        </is>
      </c>
      <c r="E15" s="66" t="inlineStr">
        <is>
          <t>Switzerland Travel</t>
        </is>
      </c>
      <c r="F15" s="67" t="n">
        <v>5618.2</v>
      </c>
      <c r="G15" s="66" t="inlineStr">
        <is>
          <t>CHF</t>
        </is>
      </c>
      <c r="H15" s="68" t="n">
        <v>7.0228</v>
      </c>
      <c r="I15" s="66" t="inlineStr">
        <is>
          <t>32999 Travel</t>
        </is>
      </c>
    </row>
    <row r="16">
      <c r="B16" s="190" t="n">
        <v>45531</v>
      </c>
      <c r="C16" s="70" t="inlineStr">
        <is>
          <t>Daycoval</t>
        </is>
      </c>
      <c r="D16" s="70" t="inlineStr">
        <is>
          <t>Travel FX</t>
        </is>
      </c>
      <c r="E16" s="70" t="inlineStr">
        <is>
          <t>USA Travel</t>
        </is>
      </c>
      <c r="F16" s="71" t="n">
        <v>11473.79</v>
      </c>
      <c r="G16" s="70" t="inlineStr">
        <is>
          <t>USD</t>
        </is>
      </c>
      <c r="H16" s="72" t="n">
        <v>5.7369</v>
      </c>
      <c r="I16" s="70" t="inlineStr">
        <is>
          <t>32999 Travel</t>
        </is>
      </c>
    </row>
    <row r="17">
      <c r="B17" s="189" t="n">
        <v>45615</v>
      </c>
      <c r="C17" s="66" t="inlineStr">
        <is>
          <t>Daycoval</t>
        </is>
      </c>
      <c r="D17" s="66" t="inlineStr">
        <is>
          <t>Travel FX</t>
        </is>
      </c>
      <c r="E17" s="66" t="inlineStr">
        <is>
          <t>Switzerland Travel</t>
        </is>
      </c>
      <c r="F17" s="67" t="n">
        <v>10534.12</v>
      </c>
      <c r="G17" s="66" t="inlineStr">
        <is>
          <t>CHF</t>
        </is>
      </c>
      <c r="H17" s="68" t="n">
        <v>7.0228</v>
      </c>
      <c r="I17" s="66" t="inlineStr">
        <is>
          <t>32999 Travel</t>
        </is>
      </c>
    </row>
    <row r="18">
      <c r="B18" s="190" t="n">
        <v>46028</v>
      </c>
      <c r="C18" s="70" t="inlineStr">
        <is>
          <t>MP Cartão</t>
        </is>
      </c>
      <c r="D18" s="70" t="inlineStr">
        <is>
          <t>Delivery/iFood</t>
        </is>
      </c>
      <c r="E18" s="70" t="inlineStr">
        <is>
          <t>IFD*PIZZA NOW INTERMARES</t>
        </is>
      </c>
      <c r="F18" s="73" t="n">
        <v>-173.79</v>
      </c>
      <c r="G18" s="70" t="inlineStr">
        <is>
          <t>BRL</t>
        </is>
      </c>
      <c r="H18" s="72" t="n"/>
      <c r="I18" s="70" t="inlineStr">
        <is>
          <t>Fatura 2026-02</t>
        </is>
      </c>
    </row>
    <row r="19">
      <c r="B19" s="189" t="n">
        <v>46030</v>
      </c>
      <c r="C19" s="66" t="inlineStr">
        <is>
          <t>MP Cartão</t>
        </is>
      </c>
      <c r="D19" s="66" t="inlineStr">
        <is>
          <t>IA/Tecnologia</t>
        </is>
      </c>
      <c r="E19" s="66" t="inlineStr">
        <is>
          <t>Compra internacional em OPENAI *CHATGPT SUBSCR</t>
        </is>
      </c>
      <c r="F19" s="74" t="n">
        <v>-111.58</v>
      </c>
      <c r="G19" s="66" t="inlineStr">
        <is>
          <t>BRL</t>
        </is>
      </c>
      <c r="H19" s="68" t="n"/>
      <c r="I19" s="66" t="inlineStr">
        <is>
          <t>Fatura 2026-02</t>
        </is>
      </c>
    </row>
    <row r="20">
      <c r="B20" s="190" t="n">
        <v>46030</v>
      </c>
      <c r="C20" s="70" t="inlineStr">
        <is>
          <t>MP Cartão</t>
        </is>
      </c>
      <c r="D20" s="70" t="inlineStr">
        <is>
          <t>Assinatura</t>
        </is>
      </c>
      <c r="E20" s="70" t="inlineStr">
        <is>
          <t>APPLE.COM/BILL</t>
        </is>
      </c>
      <c r="F20" s="73" t="n">
        <v>-21.9</v>
      </c>
      <c r="G20" s="70" t="inlineStr">
        <is>
          <t>BRL</t>
        </is>
      </c>
      <c r="H20" s="72" t="n"/>
      <c r="I20" s="70" t="inlineStr">
        <is>
          <t>Fatura 2026-02</t>
        </is>
      </c>
    </row>
    <row r="21">
      <c r="B21" s="189" t="n">
        <v>46032</v>
      </c>
      <c r="C21" s="66" t="inlineStr">
        <is>
          <t>MP Cartão</t>
        </is>
      </c>
      <c r="D21" s="66" t="inlineStr">
        <is>
          <t>Delivery/iFood</t>
        </is>
      </c>
      <c r="E21" s="66" t="inlineStr">
        <is>
          <t>IFD*34531468 EDWIN LEI</t>
        </is>
      </c>
      <c r="F21" s="74" t="n">
        <v>-111.6</v>
      </c>
      <c r="G21" s="66" t="inlineStr">
        <is>
          <t>BRL</t>
        </is>
      </c>
      <c r="H21" s="68" t="n"/>
      <c r="I21" s="66" t="inlineStr">
        <is>
          <t>Fatura 2026-02</t>
        </is>
      </c>
    </row>
    <row r="22">
      <c r="B22" s="190" t="n">
        <v>46032</v>
      </c>
      <c r="C22" s="70" t="inlineStr">
        <is>
          <t>MP Cartão</t>
        </is>
      </c>
      <c r="D22" s="70" t="inlineStr">
        <is>
          <t>Assinatura</t>
        </is>
      </c>
      <c r="E22" s="70" t="inlineStr">
        <is>
          <t>APPLE.COM/BILL</t>
        </is>
      </c>
      <c r="F22" s="73" t="n">
        <v>-19.9</v>
      </c>
      <c r="G22" s="70" t="inlineStr">
        <is>
          <t>BRL</t>
        </is>
      </c>
      <c r="H22" s="72" t="n"/>
      <c r="I22" s="70" t="inlineStr">
        <is>
          <t>Fatura 2026-02</t>
        </is>
      </c>
    </row>
    <row r="23">
      <c r="B23" s="189" t="n">
        <v>46035</v>
      </c>
      <c r="C23" s="66" t="inlineStr">
        <is>
          <t>MP Cartão</t>
        </is>
      </c>
      <c r="D23" s="66" t="inlineStr">
        <is>
          <t>Outros</t>
        </is>
      </c>
      <c r="E23" s="66" t="inlineStr">
        <is>
          <t>MP*EDUARDOGIOVAN</t>
        </is>
      </c>
      <c r="F23" s="74" t="n">
        <v>-0.78</v>
      </c>
      <c r="G23" s="66" t="inlineStr">
        <is>
          <t>BRL</t>
        </is>
      </c>
      <c r="H23" s="68" t="n"/>
      <c r="I23" s="66" t="inlineStr">
        <is>
          <t>Fatura 2026-02</t>
        </is>
      </c>
    </row>
    <row r="24">
      <c r="B24" s="190" t="n">
        <v>46036</v>
      </c>
      <c r="C24" s="70" t="inlineStr">
        <is>
          <t>MP Cartão</t>
        </is>
      </c>
      <c r="D24" s="70" t="inlineStr">
        <is>
          <t>IA/Tecnologia</t>
        </is>
      </c>
      <c r="E24" s="70" t="inlineStr">
        <is>
          <t>Compra internacional em MANUS AI</t>
        </is>
      </c>
      <c r="F24" s="73" t="n">
        <v>-25.79</v>
      </c>
      <c r="G24" s="70" t="inlineStr">
        <is>
          <t>BRL</t>
        </is>
      </c>
      <c r="H24" s="72" t="n"/>
      <c r="I24" s="70" t="inlineStr">
        <is>
          <t>Fatura 2026-02</t>
        </is>
      </c>
    </row>
    <row r="25">
      <c r="B25" s="189" t="n">
        <v>46037</v>
      </c>
      <c r="C25" s="66" t="inlineStr">
        <is>
          <t>MP Cartão</t>
        </is>
      </c>
      <c r="D25" s="66" t="inlineStr">
        <is>
          <t>Internet</t>
        </is>
      </c>
      <c r="E25" s="66" t="inlineStr">
        <is>
          <t>DL*Starlink Braz</t>
        </is>
      </c>
      <c r="F25" s="74" t="n">
        <v>-235.52</v>
      </c>
      <c r="G25" s="66" t="inlineStr">
        <is>
          <t>BRL</t>
        </is>
      </c>
      <c r="H25" s="68" t="n"/>
      <c r="I25" s="66" t="inlineStr">
        <is>
          <t>Fatura 2026-02</t>
        </is>
      </c>
    </row>
    <row r="26">
      <c r="B26" s="190" t="n">
        <v>46038</v>
      </c>
      <c r="C26" s="70" t="inlineStr">
        <is>
          <t>MP Cartão</t>
        </is>
      </c>
      <c r="D26" s="70" t="inlineStr">
        <is>
          <t>Loteria</t>
        </is>
      </c>
      <c r="E26" s="70" t="inlineStr">
        <is>
          <t>MP*LOTERIASONLINEU1AQ</t>
        </is>
      </c>
      <c r="F26" s="73" t="n">
        <v>-143.6</v>
      </c>
      <c r="G26" s="70" t="inlineStr">
        <is>
          <t>BRL</t>
        </is>
      </c>
      <c r="H26" s="72" t="n"/>
      <c r="I26" s="70" t="inlineStr">
        <is>
          <t>Fatura 2026-02</t>
        </is>
      </c>
    </row>
    <row r="27">
      <c r="B27" s="189" t="n">
        <v>46038</v>
      </c>
      <c r="C27" s="66" t="inlineStr">
        <is>
          <t>MP Cartão</t>
        </is>
      </c>
      <c r="D27" s="66" t="inlineStr">
        <is>
          <t>Delivery/iFood</t>
        </is>
      </c>
      <c r="E27" s="66" t="inlineStr">
        <is>
          <t>IFD*FORMAGGIO RESTAURANTE</t>
        </is>
      </c>
      <c r="F27" s="74" t="n">
        <v>-191.8</v>
      </c>
      <c r="G27" s="66" t="inlineStr">
        <is>
          <t>BRL</t>
        </is>
      </c>
      <c r="H27" s="68" t="n"/>
      <c r="I27" s="66" t="inlineStr">
        <is>
          <t>Fatura 2026-02</t>
        </is>
      </c>
    </row>
    <row r="28">
      <c r="B28" s="190" t="n">
        <v>46039</v>
      </c>
      <c r="C28" s="70" t="inlineStr">
        <is>
          <t>MP Cartão</t>
        </is>
      </c>
      <c r="D28" s="70" t="inlineStr">
        <is>
          <t>IA/Tecnologia</t>
        </is>
      </c>
      <c r="E28" s="70" t="inlineStr">
        <is>
          <t>Compra internacional em OPENAI *CHATGPT SUBSCR</t>
        </is>
      </c>
      <c r="F28" s="73" t="n">
        <v>-111.37</v>
      </c>
      <c r="G28" s="70" t="inlineStr">
        <is>
          <t>BRL</t>
        </is>
      </c>
      <c r="H28" s="72" t="n"/>
      <c r="I28" s="70" t="inlineStr">
        <is>
          <t>Fatura 2026-02</t>
        </is>
      </c>
    </row>
    <row r="29">
      <c r="B29" s="189" t="n">
        <v>46039</v>
      </c>
      <c r="C29" s="66" t="inlineStr">
        <is>
          <t>MP Cartão</t>
        </is>
      </c>
      <c r="D29" s="66" t="inlineStr">
        <is>
          <t>Loteria</t>
        </is>
      </c>
      <c r="E29" s="66" t="inlineStr">
        <is>
          <t>MP*LOTERIASONLINE542V</t>
        </is>
      </c>
      <c r="F29" s="74" t="n">
        <v>-111</v>
      </c>
      <c r="G29" s="66" t="inlineStr">
        <is>
          <t>BRL</t>
        </is>
      </c>
      <c r="H29" s="68" t="n"/>
      <c r="I29" s="66" t="inlineStr">
        <is>
          <t>Fatura 2026-02</t>
        </is>
      </c>
    </row>
    <row r="30">
      <c r="B30" s="190" t="n">
        <v>46041</v>
      </c>
      <c r="C30" s="70" t="inlineStr">
        <is>
          <t>MP Cartão</t>
        </is>
      </c>
      <c r="D30" s="70" t="inlineStr">
        <is>
          <t>Assinatura</t>
        </is>
      </c>
      <c r="E30" s="70" t="inlineStr">
        <is>
          <t>Compra internacional em LEMSQZY* PINEAPPLE-APP</t>
        </is>
      </c>
      <c r="F30" s="73" t="n">
        <v>-111.11</v>
      </c>
      <c r="G30" s="70" t="inlineStr">
        <is>
          <t>BRL</t>
        </is>
      </c>
      <c r="H30" s="72" t="n"/>
      <c r="I30" s="70" t="inlineStr">
        <is>
          <t>Fatura 2026-02</t>
        </is>
      </c>
    </row>
    <row r="31">
      <c r="B31" s="189" t="n">
        <v>46043</v>
      </c>
      <c r="C31" s="66" t="inlineStr">
        <is>
          <t>MP Cartão</t>
        </is>
      </c>
      <c r="D31" s="66" t="inlineStr">
        <is>
          <t>IA/Tecnologia</t>
        </is>
      </c>
      <c r="E31" s="66" t="inlineStr">
        <is>
          <t>Compra internacional em CLAUDE.AI SUBSCRIPTION</t>
        </is>
      </c>
      <c r="F31" s="74" t="n">
        <v>-1138.5</v>
      </c>
      <c r="G31" s="66" t="inlineStr">
        <is>
          <t>BRL</t>
        </is>
      </c>
      <c r="H31" s="68" t="n"/>
      <c r="I31" s="66" t="inlineStr">
        <is>
          <t>Fatura 2026-02</t>
        </is>
      </c>
    </row>
    <row r="32">
      <c r="B32" s="190" t="n">
        <v>46043</v>
      </c>
      <c r="C32" s="70" t="inlineStr">
        <is>
          <t>MP Cartão</t>
        </is>
      </c>
      <c r="D32" s="70" t="inlineStr">
        <is>
          <t>IA/Tecnologia</t>
        </is>
      </c>
      <c r="E32" s="70" t="inlineStr">
        <is>
          <t>Compra internacional em MANUS AI</t>
        </is>
      </c>
      <c r="F32" s="73" t="n">
        <v>-556.83</v>
      </c>
      <c r="G32" s="70" t="inlineStr">
        <is>
          <t>BRL</t>
        </is>
      </c>
      <c r="H32" s="72" t="n"/>
      <c r="I32" s="70" t="inlineStr">
        <is>
          <t>Fatura 2026-02</t>
        </is>
      </c>
    </row>
    <row r="33">
      <c r="B33" s="189" t="n">
        <v>46048</v>
      </c>
      <c r="C33" s="66" t="inlineStr">
        <is>
          <t>Banco Topázio</t>
        </is>
      </c>
      <c r="D33" s="66" t="inlineStr">
        <is>
          <t>IB Deposit</t>
        </is>
      </c>
      <c r="E33" s="66" t="inlineStr">
        <is>
          <t>Interactive Brokers</t>
        </is>
      </c>
      <c r="F33" s="67" t="n">
        <v>1071.22</v>
      </c>
      <c r="G33" s="66" t="inlineStr">
        <is>
          <t>USD</t>
        </is>
      </c>
      <c r="H33" s="68" t="n">
        <v>5.3561</v>
      </c>
      <c r="I33" s="66" t="inlineStr">
        <is>
          <t>91992 IB deposit</t>
        </is>
      </c>
    </row>
    <row r="34">
      <c r="B34" s="190" t="n">
        <v>46049</v>
      </c>
      <c r="C34" s="70" t="inlineStr">
        <is>
          <t>MP Cartão</t>
        </is>
      </c>
      <c r="D34" s="70" t="inlineStr">
        <is>
          <t>Outros</t>
        </is>
      </c>
      <c r="E34" s="70" t="inlineStr">
        <is>
          <t>Compra internacional em RAYCAST.COM</t>
        </is>
      </c>
      <c r="F34" s="73" t="n">
        <v>-524.63</v>
      </c>
      <c r="G34" s="70" t="inlineStr">
        <is>
          <t>BRL</t>
        </is>
      </c>
      <c r="H34" s="72" t="n"/>
      <c r="I34" s="70" t="inlineStr">
        <is>
          <t>Fatura 2026-02</t>
        </is>
      </c>
    </row>
    <row r="35">
      <c r="B35" s="189" t="n">
        <v>46049</v>
      </c>
      <c r="C35" s="66" t="inlineStr">
        <is>
          <t>BB Brasil</t>
        </is>
      </c>
      <c r="D35" s="66" t="inlineStr">
        <is>
          <t>Outbound</t>
        </is>
      </c>
      <c r="E35" s="66" t="inlineStr">
        <is>
          <t>USA - Own Account</t>
        </is>
      </c>
      <c r="F35" s="74" t="n">
        <v>-15886.01</v>
      </c>
      <c r="G35" s="66" t="inlineStr">
        <is>
          <t>USD</t>
        </is>
      </c>
      <c r="H35" s="68" t="n">
        <v>5.2953</v>
      </c>
      <c r="I35" s="66" t="inlineStr">
        <is>
          <t>67995 Self-transfer</t>
        </is>
      </c>
    </row>
    <row r="36">
      <c r="B36" s="190" t="n">
        <v>46050</v>
      </c>
      <c r="C36" s="70" t="inlineStr">
        <is>
          <t>MP Cartão</t>
        </is>
      </c>
      <c r="D36" s="70" t="inlineStr">
        <is>
          <t>Delivery/iFood</t>
        </is>
      </c>
      <c r="E36" s="70" t="inlineStr">
        <is>
          <t>IFD*34531468 EDWIN LEI</t>
        </is>
      </c>
      <c r="F36" s="73" t="n">
        <v>-55.8</v>
      </c>
      <c r="G36" s="70" t="inlineStr">
        <is>
          <t>BRL</t>
        </is>
      </c>
      <c r="H36" s="72" t="n"/>
      <c r="I36" s="70" t="inlineStr">
        <is>
          <t>Fatura 2026-02</t>
        </is>
      </c>
    </row>
    <row r="37">
      <c r="B37" s="189" t="n">
        <v>46052</v>
      </c>
      <c r="C37" s="66" t="inlineStr">
        <is>
          <t>MP Cartão</t>
        </is>
      </c>
      <c r="D37" s="66" t="inlineStr">
        <is>
          <t>Assinatura</t>
        </is>
      </c>
      <c r="E37" s="66" t="inlineStr">
        <is>
          <t>APPLE.COM/BILL</t>
        </is>
      </c>
      <c r="F37" s="74" t="n">
        <v>-99.90000000000001</v>
      </c>
      <c r="G37" s="66" t="inlineStr">
        <is>
          <t>BRL</t>
        </is>
      </c>
      <c r="H37" s="68" t="n"/>
      <c r="I37" s="66" t="inlineStr">
        <is>
          <t>Fatura 2026-02</t>
        </is>
      </c>
    </row>
    <row r="38">
      <c r="B38" s="190" t="n">
        <v>46052</v>
      </c>
      <c r="C38" s="70" t="inlineStr">
        <is>
          <t>BB Brasil</t>
        </is>
      </c>
      <c r="D38" s="70" t="inlineStr">
        <is>
          <t>Outbound</t>
        </is>
      </c>
      <c r="E38" s="70" t="inlineStr">
        <is>
          <t>USA - Own Account</t>
        </is>
      </c>
      <c r="F38" s="73" t="n">
        <v>-16063.89</v>
      </c>
      <c r="G38" s="70" t="inlineStr">
        <is>
          <t>USD</t>
        </is>
      </c>
      <c r="H38" s="72" t="n">
        <v>5.3546</v>
      </c>
      <c r="I38" s="70" t="inlineStr">
        <is>
          <t>67995 Self-transfer</t>
        </is>
      </c>
    </row>
    <row r="39">
      <c r="B39" s="189" t="n">
        <v>46056</v>
      </c>
      <c r="C39" s="66" t="inlineStr">
        <is>
          <t>MP Cartão</t>
        </is>
      </c>
      <c r="D39" s="66" t="inlineStr">
        <is>
          <t>Outros</t>
        </is>
      </c>
      <c r="E39" s="66" t="inlineStr">
        <is>
          <t>Compra internacional em DESKTOP COMMANDER</t>
        </is>
      </c>
      <c r="F39" s="74" t="n">
        <v>-272.21</v>
      </c>
      <c r="G39" s="66" t="inlineStr">
        <is>
          <t>BRL</t>
        </is>
      </c>
      <c r="H39" s="68" t="n"/>
      <c r="I39" s="66" t="inlineStr">
        <is>
          <t>Fatura 2026-02</t>
        </is>
      </c>
    </row>
    <row r="40">
      <c r="B40" s="190" t="n">
        <v>46057</v>
      </c>
      <c r="C40" s="70" t="inlineStr">
        <is>
          <t>MP Cartão</t>
        </is>
      </c>
      <c r="D40" s="70" t="inlineStr">
        <is>
          <t>Loteria</t>
        </is>
      </c>
      <c r="E40" s="70" t="inlineStr">
        <is>
          <t>MP*LOTERIASONLINEM4UQ</t>
        </is>
      </c>
      <c r="F40" s="73" t="n">
        <v>-168</v>
      </c>
      <c r="G40" s="70" t="inlineStr">
        <is>
          <t>BRL</t>
        </is>
      </c>
      <c r="H40" s="72" t="n"/>
      <c r="I40" s="70" t="inlineStr">
        <is>
          <t>Fatura 2026-02</t>
        </is>
      </c>
    </row>
    <row r="41">
      <c r="B41" s="189" t="n">
        <v>46058</v>
      </c>
      <c r="C41" s="66" t="inlineStr">
        <is>
          <t>MP Cartão</t>
        </is>
      </c>
      <c r="D41" s="66" t="inlineStr">
        <is>
          <t>Loteria</t>
        </is>
      </c>
      <c r="E41" s="66" t="inlineStr">
        <is>
          <t>MP*LOTERIASONLINEYY48</t>
        </is>
      </c>
      <c r="F41" s="74" t="n">
        <v>-84</v>
      </c>
      <c r="G41" s="66" t="inlineStr">
        <is>
          <t>BRL</t>
        </is>
      </c>
      <c r="H41" s="68" t="n"/>
      <c r="I41" s="66" t="inlineStr">
        <is>
          <t>Fatura 2026-02</t>
        </is>
      </c>
    </row>
    <row r="42">
      <c r="B42" s="190" t="n">
        <v>46058</v>
      </c>
      <c r="C42" s="70" t="inlineStr">
        <is>
          <t>MP Cartão</t>
        </is>
      </c>
      <c r="D42" s="70" t="inlineStr">
        <is>
          <t>IA/Tecnologia</t>
        </is>
      </c>
      <c r="E42" s="70" t="inlineStr">
        <is>
          <t>Compra internacional em OPENAI *CHATGPT SUBSCR</t>
        </is>
      </c>
      <c r="F42" s="73" t="n">
        <v>-108.89</v>
      </c>
      <c r="G42" s="70" t="inlineStr">
        <is>
          <t>BRL</t>
        </is>
      </c>
      <c r="H42" s="72" t="n"/>
      <c r="I42" s="70" t="inlineStr">
        <is>
          <t>Fatura 2026-03</t>
        </is>
      </c>
    </row>
    <row r="43">
      <c r="B43" s="189" t="n">
        <v>46061</v>
      </c>
      <c r="C43" s="66" t="inlineStr">
        <is>
          <t>MP Cartão</t>
        </is>
      </c>
      <c r="D43" s="66" t="inlineStr">
        <is>
          <t>Assinatura</t>
        </is>
      </c>
      <c r="E43" s="66" t="inlineStr">
        <is>
          <t>APPLECOMBILL</t>
        </is>
      </c>
      <c r="F43" s="74" t="n">
        <v>-21.9</v>
      </c>
      <c r="G43" s="66" t="inlineStr">
        <is>
          <t>BRL</t>
        </is>
      </c>
      <c r="H43" s="68" t="n"/>
      <c r="I43" s="66" t="inlineStr">
        <is>
          <t>Fatura 2026-03</t>
        </is>
      </c>
    </row>
    <row r="44">
      <c r="B44" s="190" t="n">
        <v>46062</v>
      </c>
      <c r="C44" s="70" t="inlineStr">
        <is>
          <t>MP Cartão</t>
        </is>
      </c>
      <c r="D44" s="70" t="inlineStr">
        <is>
          <t>Loteria</t>
        </is>
      </c>
      <c r="E44" s="70" t="inlineStr">
        <is>
          <t>MP*LOTERIASONLINEBFN5</t>
        </is>
      </c>
      <c r="F44" s="73" t="n">
        <v>-150</v>
      </c>
      <c r="G44" s="70" t="inlineStr">
        <is>
          <t>BRL</t>
        </is>
      </c>
      <c r="H44" s="72" t="n"/>
      <c r="I44" s="70" t="inlineStr">
        <is>
          <t>Fatura 2026-03</t>
        </is>
      </c>
    </row>
    <row r="45">
      <c r="B45" s="189" t="n">
        <v>46062</v>
      </c>
      <c r="C45" s="66" t="inlineStr">
        <is>
          <t>BB Brasil</t>
        </is>
      </c>
      <c r="D45" s="66" t="inlineStr">
        <is>
          <t>Outbound</t>
        </is>
      </c>
      <c r="E45" s="66" t="inlineStr">
        <is>
          <t>USA - Own Account</t>
        </is>
      </c>
      <c r="F45" s="74" t="n">
        <v>-15868.79</v>
      </c>
      <c r="G45" s="66" t="inlineStr">
        <is>
          <t>USD</t>
        </is>
      </c>
      <c r="H45" s="68" t="n">
        <v>5.2896</v>
      </c>
      <c r="I45" s="66" t="inlineStr">
        <is>
          <t>67995 Self-transfer</t>
        </is>
      </c>
    </row>
    <row r="46">
      <c r="B46" s="190" t="n">
        <v>46063</v>
      </c>
      <c r="C46" s="70" t="inlineStr">
        <is>
          <t>MP Cartão</t>
        </is>
      </c>
      <c r="D46" s="70" t="inlineStr">
        <is>
          <t>Assinatura</t>
        </is>
      </c>
      <c r="E46" s="70" t="inlineStr">
        <is>
          <t>APPLECOMBILL</t>
        </is>
      </c>
      <c r="F46" s="73" t="n">
        <v>-19.9</v>
      </c>
      <c r="G46" s="70" t="inlineStr">
        <is>
          <t>BRL</t>
        </is>
      </c>
      <c r="H46" s="72" t="n"/>
      <c r="I46" s="70" t="inlineStr">
        <is>
          <t>Fatura 2026-03</t>
        </is>
      </c>
    </row>
    <row r="47">
      <c r="B47" s="189" t="n">
        <v>46064</v>
      </c>
      <c r="C47" s="66" t="inlineStr">
        <is>
          <t>MP Cartão</t>
        </is>
      </c>
      <c r="D47" s="66" t="inlineStr">
        <is>
          <t>Compras/ML</t>
        </is>
      </c>
      <c r="E47" s="66" t="inlineStr">
        <is>
          <t>MERCADOLIVRE*3PRODUTOS</t>
        </is>
      </c>
      <c r="F47" s="74" t="n">
        <v>-6282.36</v>
      </c>
      <c r="G47" s="66" t="inlineStr">
        <is>
          <t>BRL</t>
        </is>
      </c>
      <c r="H47" s="68" t="n"/>
      <c r="I47" s="66" t="inlineStr">
        <is>
          <t>Fatura 2026-03</t>
        </is>
      </c>
    </row>
    <row r="48">
      <c r="B48" s="190" t="n">
        <v>46064</v>
      </c>
      <c r="C48" s="70" t="inlineStr">
        <is>
          <t>Banco Inter</t>
        </is>
      </c>
      <c r="D48" s="70" t="inlineStr">
        <is>
          <t>PIX In</t>
        </is>
      </c>
      <c r="E48" s="70" t="inlineStr">
        <is>
          <t>Eduardo F Giovannini</t>
        </is>
      </c>
      <c r="F48" s="71" t="n">
        <v>40000</v>
      </c>
      <c r="G48" s="70" t="inlineStr">
        <is>
          <t>BRL</t>
        </is>
      </c>
      <c r="H48" s="72" t="n"/>
      <c r="I48" s="70" t="inlineStr"/>
    </row>
    <row r="49">
      <c r="B49" s="189" t="n">
        <v>46064</v>
      </c>
      <c r="C49" s="66" t="inlineStr">
        <is>
          <t>BB Brasil</t>
        </is>
      </c>
      <c r="D49" s="66" t="inlineStr">
        <is>
          <t>Outbound</t>
        </is>
      </c>
      <c r="E49" s="66" t="inlineStr">
        <is>
          <t>USA - Own Account</t>
        </is>
      </c>
      <c r="F49" s="74" t="n">
        <v>-15789.96</v>
      </c>
      <c r="G49" s="66" t="inlineStr">
        <is>
          <t>USD</t>
        </is>
      </c>
      <c r="H49" s="68" t="n">
        <v>5.2633</v>
      </c>
      <c r="I49" s="66" t="inlineStr">
        <is>
          <t>67995 Self-transfer</t>
        </is>
      </c>
    </row>
    <row r="50">
      <c r="B50" s="190" t="n">
        <v>46067</v>
      </c>
      <c r="C50" s="70" t="inlineStr">
        <is>
          <t>MP Cartão</t>
        </is>
      </c>
      <c r="D50" s="70" t="inlineStr">
        <is>
          <t>IA/Tecnologia</t>
        </is>
      </c>
      <c r="E50" s="70" t="inlineStr">
        <is>
          <t>Compra internacional em ANTHROPIC</t>
        </is>
      </c>
      <c r="F50" s="73" t="n">
        <v>-51.75</v>
      </c>
      <c r="G50" s="70" t="inlineStr">
        <is>
          <t>BRL</t>
        </is>
      </c>
      <c r="H50" s="72" t="n"/>
      <c r="I50" s="70" t="inlineStr">
        <is>
          <t>Fatura 2026-03</t>
        </is>
      </c>
    </row>
    <row r="51">
      <c r="B51" s="189" t="n">
        <v>46067</v>
      </c>
      <c r="C51" s="66" t="inlineStr">
        <is>
          <t>MP Cartão</t>
        </is>
      </c>
      <c r="D51" s="66" t="inlineStr">
        <is>
          <t>Loteria</t>
        </is>
      </c>
      <c r="E51" s="66" t="inlineStr">
        <is>
          <t>MP*LOTERIASONLINEO4M4</t>
        </is>
      </c>
      <c r="F51" s="74" t="n">
        <v>-206</v>
      </c>
      <c r="G51" s="66" t="inlineStr">
        <is>
          <t>BRL</t>
        </is>
      </c>
      <c r="H51" s="68" t="n"/>
      <c r="I51" s="66" t="inlineStr">
        <is>
          <t>Fatura 2026-03</t>
        </is>
      </c>
    </row>
    <row r="52">
      <c r="B52" s="190" t="n">
        <v>46067</v>
      </c>
      <c r="C52" s="70" t="inlineStr">
        <is>
          <t>MP Cartão</t>
        </is>
      </c>
      <c r="D52" s="70" t="inlineStr">
        <is>
          <t>Loteria</t>
        </is>
      </c>
      <c r="E52" s="70" t="inlineStr">
        <is>
          <t>MP*LOTERIASONLINEOBUG</t>
        </is>
      </c>
      <c r="F52" s="73" t="n">
        <v>-168</v>
      </c>
      <c r="G52" s="70" t="inlineStr">
        <is>
          <t>BRL</t>
        </is>
      </c>
      <c r="H52" s="72" t="n"/>
      <c r="I52" s="70" t="inlineStr">
        <is>
          <t>Fatura 2026-03</t>
        </is>
      </c>
    </row>
    <row r="53">
      <c r="B53" s="189" t="n">
        <v>46069</v>
      </c>
      <c r="C53" s="66" t="inlineStr">
        <is>
          <t>MP Cartão</t>
        </is>
      </c>
      <c r="D53" s="66" t="inlineStr">
        <is>
          <t>Internet</t>
        </is>
      </c>
      <c r="E53" s="66" t="inlineStr">
        <is>
          <t>DL *Starlink Brazil</t>
        </is>
      </c>
      <c r="F53" s="74" t="n">
        <v>-235.52</v>
      </c>
      <c r="G53" s="66" t="inlineStr">
        <is>
          <t>BRL</t>
        </is>
      </c>
      <c r="H53" s="68" t="n"/>
      <c r="I53" s="66" t="inlineStr">
        <is>
          <t>Fatura 2026-03</t>
        </is>
      </c>
    </row>
    <row r="54">
      <c r="B54" s="190" t="n">
        <v>46070</v>
      </c>
      <c r="C54" s="70" t="inlineStr">
        <is>
          <t>MP Cartão</t>
        </is>
      </c>
      <c r="D54" s="70" t="inlineStr">
        <is>
          <t>IA/Tecnologia</t>
        </is>
      </c>
      <c r="E54" s="70" t="inlineStr">
        <is>
          <t>Compra internacional em OPENAI *CHATGPT SUBSCR</t>
        </is>
      </c>
      <c r="F54" s="73" t="n">
        <v>-108.27</v>
      </c>
      <c r="G54" s="70" t="inlineStr">
        <is>
          <t>BRL</t>
        </is>
      </c>
      <c r="H54" s="72" t="n"/>
      <c r="I54" s="70" t="inlineStr">
        <is>
          <t>Fatura 2026-03</t>
        </is>
      </c>
    </row>
    <row r="55">
      <c r="B55" s="189" t="n">
        <v>46071</v>
      </c>
      <c r="C55" s="66" t="inlineStr">
        <is>
          <t>MP Cartão</t>
        </is>
      </c>
      <c r="D55" s="66" t="inlineStr">
        <is>
          <t>Loteria</t>
        </is>
      </c>
      <c r="E55" s="66" t="inlineStr">
        <is>
          <t>MP*LOTERIASONLINEFEG2</t>
        </is>
      </c>
      <c r="F55" s="74" t="n">
        <v>-168</v>
      </c>
      <c r="G55" s="66" t="inlineStr">
        <is>
          <t>BRL</t>
        </is>
      </c>
      <c r="H55" s="68" t="n"/>
      <c r="I55" s="66" t="inlineStr">
        <is>
          <t>Fatura 2026-03</t>
        </is>
      </c>
    </row>
    <row r="56">
      <c r="B56" s="190" t="n">
        <v>46074</v>
      </c>
      <c r="C56" s="70" t="inlineStr">
        <is>
          <t>MP Cartão</t>
        </is>
      </c>
      <c r="D56" s="70" t="inlineStr">
        <is>
          <t>Loteria</t>
        </is>
      </c>
      <c r="E56" s="70" t="inlineStr">
        <is>
          <t>MP*LOTERIASONLINEU2WR</t>
        </is>
      </c>
      <c r="F56" s="73" t="n">
        <v>-168</v>
      </c>
      <c r="G56" s="70" t="inlineStr">
        <is>
          <t>BRL</t>
        </is>
      </c>
      <c r="H56" s="72" t="n"/>
      <c r="I56" s="70" t="inlineStr">
        <is>
          <t>Fatura 2026-03</t>
        </is>
      </c>
    </row>
    <row r="57">
      <c r="B57" s="189" t="n">
        <v>46074</v>
      </c>
      <c r="C57" s="66" t="inlineStr">
        <is>
          <t>MP Cartão</t>
        </is>
      </c>
      <c r="D57" s="66" t="inlineStr">
        <is>
          <t>Loteria</t>
        </is>
      </c>
      <c r="E57" s="66" t="inlineStr">
        <is>
          <t>MP*LOTERIASONLINEQXFX</t>
        </is>
      </c>
      <c r="F57" s="74" t="n">
        <v>-238</v>
      </c>
      <c r="G57" s="66" t="inlineStr">
        <is>
          <t>BRL</t>
        </is>
      </c>
      <c r="H57" s="68" t="n"/>
      <c r="I57" s="66" t="inlineStr">
        <is>
          <t>Fatura 2026-03</t>
        </is>
      </c>
    </row>
    <row r="58">
      <c r="B58" s="190" t="n">
        <v>46074</v>
      </c>
      <c r="C58" s="70" t="inlineStr">
        <is>
          <t>MP Cartão</t>
        </is>
      </c>
      <c r="D58" s="70" t="inlineStr">
        <is>
          <t>IA/Tecnologia</t>
        </is>
      </c>
      <c r="E58" s="70" t="inlineStr">
        <is>
          <t>Compra internacional em MANUS AI</t>
        </is>
      </c>
      <c r="F58" s="73" t="n">
        <v>-538.2</v>
      </c>
      <c r="G58" s="70" t="inlineStr">
        <is>
          <t>BRL</t>
        </is>
      </c>
      <c r="H58" s="72" t="n"/>
      <c r="I58" s="70" t="inlineStr">
        <is>
          <t>Fatura 2026-03</t>
        </is>
      </c>
    </row>
    <row r="59">
      <c r="B59" s="189" t="n">
        <v>46076</v>
      </c>
      <c r="C59" s="66" t="inlineStr">
        <is>
          <t>MP Cartão</t>
        </is>
      </c>
      <c r="D59" s="66" t="inlineStr">
        <is>
          <t>Loteria</t>
        </is>
      </c>
      <c r="E59" s="66" t="inlineStr">
        <is>
          <t>MP*LOTERIASONLINEEIG7</t>
        </is>
      </c>
      <c r="F59" s="74" t="n">
        <v>-140</v>
      </c>
      <c r="G59" s="66" t="inlineStr">
        <is>
          <t>BRL</t>
        </is>
      </c>
      <c r="H59" s="68" t="n"/>
      <c r="I59" s="66" t="inlineStr">
        <is>
          <t>Fatura 2026-03</t>
        </is>
      </c>
    </row>
    <row r="60">
      <c r="B60" s="190" t="n">
        <v>46079</v>
      </c>
      <c r="C60" s="70" t="inlineStr">
        <is>
          <t>MP Cartão</t>
        </is>
      </c>
      <c r="D60" s="70" t="inlineStr">
        <is>
          <t>Loteria</t>
        </is>
      </c>
      <c r="E60" s="70" t="inlineStr">
        <is>
          <t>MP*LOTERIASONLINEI4Q9</t>
        </is>
      </c>
      <c r="F60" s="73" t="n">
        <v>-168</v>
      </c>
      <c r="G60" s="70" t="inlineStr">
        <is>
          <t>BRL</t>
        </is>
      </c>
      <c r="H60" s="72" t="n"/>
      <c r="I60" s="70" t="inlineStr">
        <is>
          <t>Fatura 2026-03</t>
        </is>
      </c>
    </row>
    <row r="61">
      <c r="B61" s="189" t="n">
        <v>46080</v>
      </c>
      <c r="C61" s="66" t="inlineStr">
        <is>
          <t>MP Cartão</t>
        </is>
      </c>
      <c r="D61" s="66" t="inlineStr">
        <is>
          <t>Loteria</t>
        </is>
      </c>
      <c r="E61" s="66" t="inlineStr">
        <is>
          <t>MP*LOTERIASONLINEYYRE</t>
        </is>
      </c>
      <c r="F61" s="74" t="n">
        <v>-119</v>
      </c>
      <c r="G61" s="66" t="inlineStr">
        <is>
          <t>BRL</t>
        </is>
      </c>
      <c r="H61" s="68" t="n"/>
      <c r="I61" s="66" t="inlineStr">
        <is>
          <t>Fatura 2026-03</t>
        </is>
      </c>
    </row>
    <row r="62">
      <c r="B62" s="190" t="n">
        <v>46081</v>
      </c>
      <c r="C62" s="70" t="inlineStr">
        <is>
          <t>MP Cartão</t>
        </is>
      </c>
      <c r="D62" s="70" t="inlineStr">
        <is>
          <t>Assinatura</t>
        </is>
      </c>
      <c r="E62" s="70" t="inlineStr">
        <is>
          <t>APPLECOMBILL</t>
        </is>
      </c>
      <c r="F62" s="73" t="n">
        <v>-99.90000000000001</v>
      </c>
      <c r="G62" s="70" t="inlineStr">
        <is>
          <t>BRL</t>
        </is>
      </c>
      <c r="H62" s="72" t="n"/>
      <c r="I62" s="70" t="inlineStr">
        <is>
          <t>Fatura 2026-03</t>
        </is>
      </c>
    </row>
    <row r="63">
      <c r="B63" s="189" t="n">
        <v>46084</v>
      </c>
      <c r="C63" s="66" t="inlineStr">
        <is>
          <t>BB Brasil</t>
        </is>
      </c>
      <c r="D63" s="66" t="inlineStr">
        <is>
          <t>Outbound</t>
        </is>
      </c>
      <c r="E63" s="66" t="inlineStr">
        <is>
          <t>USA - Own Account</t>
        </is>
      </c>
      <c r="F63" s="74" t="n">
        <v>-16024.35</v>
      </c>
      <c r="G63" s="66" t="inlineStr">
        <is>
          <t>USD</t>
        </is>
      </c>
      <c r="H63" s="68" t="n">
        <v>5.3414</v>
      </c>
      <c r="I63" s="66" t="inlineStr">
        <is>
          <t>67995 Self-transfer</t>
        </is>
      </c>
    </row>
    <row r="64">
      <c r="B64" s="190" t="n">
        <v>46085</v>
      </c>
      <c r="C64" s="70" t="inlineStr">
        <is>
          <t>MP Cartão</t>
        </is>
      </c>
      <c r="D64" s="70" t="inlineStr">
        <is>
          <t>Loteria</t>
        </is>
      </c>
      <c r="E64" s="70" t="inlineStr">
        <is>
          <t>MP*LOTERIASONLINEFL2P</t>
        </is>
      </c>
      <c r="F64" s="73" t="n">
        <v>-221</v>
      </c>
      <c r="G64" s="70" t="inlineStr">
        <is>
          <t>BRL</t>
        </is>
      </c>
      <c r="H64" s="72" t="n"/>
      <c r="I64" s="70" t="inlineStr">
        <is>
          <t>Fatura 2026-03</t>
        </is>
      </c>
    </row>
    <row r="65">
      <c r="B65" s="189" t="n">
        <v>46086</v>
      </c>
      <c r="C65" s="66" t="inlineStr">
        <is>
          <t>MP Cartão</t>
        </is>
      </c>
      <c r="D65" s="66" t="inlineStr">
        <is>
          <t>IA/Tecnologia</t>
        </is>
      </c>
      <c r="E65" s="66" t="inlineStr">
        <is>
          <t>Compra internacional em OPENAI *CHATGPT SUBSCR</t>
        </is>
      </c>
      <c r="F65" s="74" t="n">
        <v>-108.47</v>
      </c>
      <c r="G65" s="66" t="inlineStr">
        <is>
          <t>BRL</t>
        </is>
      </c>
      <c r="H65" s="68" t="n"/>
      <c r="I65" s="66" t="inlineStr">
        <is>
          <t>Fatura 2026-04</t>
        </is>
      </c>
    </row>
    <row r="66">
      <c r="B66" s="190" t="n">
        <v>46088</v>
      </c>
      <c r="C66" s="70" t="inlineStr">
        <is>
          <t>MP Cartão</t>
        </is>
      </c>
      <c r="D66" s="70" t="inlineStr">
        <is>
          <t>Loteria</t>
        </is>
      </c>
      <c r="E66" s="70" t="inlineStr">
        <is>
          <t>MP*LOTERIASONLINEQPEZ</t>
        </is>
      </c>
      <c r="F66" s="73" t="n">
        <v>-243</v>
      </c>
      <c r="G66" s="70" t="inlineStr">
        <is>
          <t>BRL</t>
        </is>
      </c>
      <c r="H66" s="72" t="n"/>
      <c r="I66" s="70" t="inlineStr">
        <is>
          <t>Fatura 2026-04</t>
        </is>
      </c>
    </row>
    <row r="67">
      <c r="B67" s="189" t="n">
        <v>46088</v>
      </c>
      <c r="C67" s="66" t="inlineStr">
        <is>
          <t>MP Cartão</t>
        </is>
      </c>
      <c r="D67" s="66" t="inlineStr">
        <is>
          <t>Loteria</t>
        </is>
      </c>
      <c r="E67" s="66" t="inlineStr">
        <is>
          <t>MP*LOTERIASONLINEQTKS</t>
        </is>
      </c>
      <c r="F67" s="74" t="n">
        <v>-168</v>
      </c>
      <c r="G67" s="66" t="inlineStr">
        <is>
          <t>BRL</t>
        </is>
      </c>
      <c r="H67" s="68" t="n"/>
      <c r="I67" s="66" t="inlineStr">
        <is>
          <t>Fatura 2026-04</t>
        </is>
      </c>
    </row>
    <row r="68">
      <c r="B68" s="190" t="n">
        <v>46089</v>
      </c>
      <c r="C68" s="70" t="inlineStr">
        <is>
          <t>MP Cartão</t>
        </is>
      </c>
      <c r="D68" s="70" t="inlineStr">
        <is>
          <t>Assinatura</t>
        </is>
      </c>
      <c r="E68" s="70" t="inlineStr">
        <is>
          <t>APPLECOMBILL</t>
        </is>
      </c>
      <c r="F68" s="73" t="n">
        <v>-21.9</v>
      </c>
      <c r="G68" s="70" t="inlineStr">
        <is>
          <t>BRL</t>
        </is>
      </c>
      <c r="H68" s="72" t="n"/>
      <c r="I68" s="70" t="inlineStr">
        <is>
          <t>Fatura 2026-04</t>
        </is>
      </c>
    </row>
    <row r="69">
      <c r="B69" s="189" t="n">
        <v>46089</v>
      </c>
      <c r="C69" s="66" t="inlineStr">
        <is>
          <t>MP Cartão</t>
        </is>
      </c>
      <c r="D69" s="66" t="inlineStr">
        <is>
          <t>Compras/ML</t>
        </is>
      </c>
      <c r="E69" s="66" t="inlineStr">
        <is>
          <t>MERCADOLIVRE*7PRODUTOS</t>
        </is>
      </c>
      <c r="F69" s="74" t="n">
        <v>-453.64</v>
      </c>
      <c r="G69" s="66" t="inlineStr">
        <is>
          <t>BRL</t>
        </is>
      </c>
      <c r="H69" s="68" t="n"/>
      <c r="I69" s="66" t="inlineStr">
        <is>
          <t>Fatura 2026-04</t>
        </is>
      </c>
    </row>
    <row r="70">
      <c r="B70" s="190" t="n">
        <v>46089</v>
      </c>
      <c r="C70" s="70" t="inlineStr">
        <is>
          <t>MP Cartão</t>
        </is>
      </c>
      <c r="D70" s="70" t="inlineStr">
        <is>
          <t>IA/Tecnologia</t>
        </is>
      </c>
      <c r="E70" s="70" t="inlineStr">
        <is>
          <t>Compra internacional em GITHUB, INC.</t>
        </is>
      </c>
      <c r="F70" s="73" t="n">
        <v>-54.76</v>
      </c>
      <c r="G70" s="70" t="inlineStr">
        <is>
          <t>BRL</t>
        </is>
      </c>
      <c r="H70" s="72" t="n"/>
      <c r="I70" s="70" t="inlineStr">
        <is>
          <t>Fatura 2026-04</t>
        </is>
      </c>
    </row>
    <row r="71">
      <c r="B71" s="189" t="n">
        <v>46090</v>
      </c>
      <c r="C71" s="66" t="inlineStr">
        <is>
          <t>MP Cartão</t>
        </is>
      </c>
      <c r="D71" s="66" t="inlineStr">
        <is>
          <t>Digital</t>
        </is>
      </c>
      <c r="E71" s="66" t="inlineStr">
        <is>
          <t>Compra internacional em GUMROAD* GUI RAMBO</t>
        </is>
      </c>
      <c r="F71" s="74" t="n">
        <v>-10.9</v>
      </c>
      <c r="G71" s="66" t="inlineStr">
        <is>
          <t>BRL</t>
        </is>
      </c>
      <c r="H71" s="68" t="n"/>
      <c r="I71" s="66" t="inlineStr">
        <is>
          <t>Fatura 2026-04</t>
        </is>
      </c>
    </row>
    <row r="72">
      <c r="B72" s="190" t="n">
        <v>46091</v>
      </c>
      <c r="C72" s="70" t="inlineStr">
        <is>
          <t>MP Cartão</t>
        </is>
      </c>
      <c r="D72" s="70" t="inlineStr">
        <is>
          <t>Viagem</t>
        </is>
      </c>
      <c r="E72" s="70" t="inlineStr">
        <is>
          <t>Compra internacional em LAN AIRLINE</t>
        </is>
      </c>
      <c r="F72" s="73" t="n">
        <v>-9036.83</v>
      </c>
      <c r="G72" s="70" t="inlineStr">
        <is>
          <t>BRL</t>
        </is>
      </c>
      <c r="H72" s="72" t="n"/>
      <c r="I72" s="70" t="inlineStr">
        <is>
          <t>Fatura 2026-04</t>
        </is>
      </c>
    </row>
    <row r="73">
      <c r="B73" s="189" t="n">
        <v>46091</v>
      </c>
      <c r="C73" s="66" t="inlineStr">
        <is>
          <t>MP Cartão</t>
        </is>
      </c>
      <c r="D73" s="66" t="inlineStr">
        <is>
          <t>Assinatura</t>
        </is>
      </c>
      <c r="E73" s="66" t="inlineStr">
        <is>
          <t>APPLECOMBILL</t>
        </is>
      </c>
      <c r="F73" s="74" t="n">
        <v>-19.9</v>
      </c>
      <c r="G73" s="66" t="inlineStr">
        <is>
          <t>BRL</t>
        </is>
      </c>
      <c r="H73" s="68" t="n"/>
      <c r="I73" s="66" t="inlineStr">
        <is>
          <t>Fatura 2026-04</t>
        </is>
      </c>
    </row>
    <row r="74">
      <c r="B74" s="190" t="n">
        <v>46091</v>
      </c>
      <c r="C74" s="70" t="inlineStr">
        <is>
          <t>MP Cartão</t>
        </is>
      </c>
      <c r="D74" s="70" t="inlineStr">
        <is>
          <t>Outros</t>
        </is>
      </c>
      <c r="E74" s="70" t="inlineStr">
        <is>
          <t>Compra internacional em OPENROUTER, INC</t>
        </is>
      </c>
      <c r="F74" s="73" t="n">
        <v>-113.78</v>
      </c>
      <c r="G74" s="70" t="inlineStr">
        <is>
          <t>BRL</t>
        </is>
      </c>
      <c r="H74" s="72" t="n"/>
      <c r="I74" s="70" t="inlineStr">
        <is>
          <t>Fatura 2026-04</t>
        </is>
      </c>
    </row>
    <row r="75">
      <c r="B75" s="189" t="n">
        <v>46092</v>
      </c>
      <c r="C75" s="66" t="inlineStr">
        <is>
          <t>MP Cartão</t>
        </is>
      </c>
      <c r="D75" s="66" t="inlineStr">
        <is>
          <t>Delivery/iFood</t>
        </is>
      </c>
      <c r="E75" s="66" t="inlineStr">
        <is>
          <t>IFD*iFood</t>
        </is>
      </c>
      <c r="F75" s="74" t="n">
        <v>-7.95</v>
      </c>
      <c r="G75" s="66" t="inlineStr">
        <is>
          <t>BRL</t>
        </is>
      </c>
      <c r="H75" s="68" t="n"/>
      <c r="I75" s="66" t="inlineStr">
        <is>
          <t>Fatura 2026-04</t>
        </is>
      </c>
    </row>
    <row r="76">
      <c r="B76" s="190" t="n">
        <v>46093</v>
      </c>
      <c r="C76" s="70" t="inlineStr">
        <is>
          <t>MP Cartão</t>
        </is>
      </c>
      <c r="D76" s="70" t="inlineStr">
        <is>
          <t>Loteria</t>
        </is>
      </c>
      <c r="E76" s="70" t="inlineStr">
        <is>
          <t>MP*LOTERIASONLINEP6LJ</t>
        </is>
      </c>
      <c r="F76" s="73" t="n">
        <v>-104</v>
      </c>
      <c r="G76" s="70" t="inlineStr">
        <is>
          <t>BRL</t>
        </is>
      </c>
      <c r="H76" s="72" t="n"/>
      <c r="I76" s="70" t="inlineStr">
        <is>
          <t>Fatura 2026-04</t>
        </is>
      </c>
    </row>
    <row r="77">
      <c r="B77" s="189" t="n">
        <v>46093</v>
      </c>
      <c r="C77" s="66" t="inlineStr">
        <is>
          <t>MP Cartão</t>
        </is>
      </c>
      <c r="D77" s="66" t="inlineStr">
        <is>
          <t>Loteria</t>
        </is>
      </c>
      <c r="E77" s="66" t="inlineStr">
        <is>
          <t>MP*LOTERIASONLINEPA19</t>
        </is>
      </c>
      <c r="F77" s="74" t="n">
        <v>-168</v>
      </c>
      <c r="G77" s="66" t="inlineStr">
        <is>
          <t>BRL</t>
        </is>
      </c>
      <c r="H77" s="68" t="n"/>
      <c r="I77" s="66" t="inlineStr">
        <is>
          <t>Fatura 2026-04</t>
        </is>
      </c>
    </row>
    <row r="78">
      <c r="B78" s="190" t="n">
        <v>46094</v>
      </c>
      <c r="C78" s="70" t="inlineStr">
        <is>
          <t>MP Cartão</t>
        </is>
      </c>
      <c r="D78" s="70" t="inlineStr">
        <is>
          <t>Loteria</t>
        </is>
      </c>
      <c r="E78" s="70" t="inlineStr">
        <is>
          <t>MP*LOTERIASONLINEJSZ1</t>
        </is>
      </c>
      <c r="F78" s="73" t="n">
        <v>-73.5</v>
      </c>
      <c r="G78" s="70" t="inlineStr">
        <is>
          <t>BRL</t>
        </is>
      </c>
      <c r="H78" s="72" t="n"/>
      <c r="I78" s="70" t="inlineStr">
        <is>
          <t>Fatura 2026-04</t>
        </is>
      </c>
    </row>
    <row r="79">
      <c r="B79" s="189" t="n">
        <v>46094</v>
      </c>
      <c r="C79" s="66" t="inlineStr">
        <is>
          <t>MP Cartão</t>
        </is>
      </c>
      <c r="D79" s="66" t="inlineStr">
        <is>
          <t>Loteria</t>
        </is>
      </c>
      <c r="E79" s="66" t="inlineStr">
        <is>
          <t>MP*LOTERIASONLINEJX1C</t>
        </is>
      </c>
      <c r="F79" s="74" t="n">
        <v>-168</v>
      </c>
      <c r="G79" s="66" t="inlineStr">
        <is>
          <t>BRL</t>
        </is>
      </c>
      <c r="H79" s="68" t="n"/>
      <c r="I79" s="66" t="inlineStr">
        <is>
          <t>Fatura 2026-04</t>
        </is>
      </c>
    </row>
    <row r="80">
      <c r="B80" s="190" t="n">
        <v>46094</v>
      </c>
      <c r="C80" s="70" t="inlineStr">
        <is>
          <t>BB Brasil</t>
        </is>
      </c>
      <c r="D80" s="70" t="inlineStr">
        <is>
          <t>Outbound</t>
        </is>
      </c>
      <c r="E80" s="70" t="inlineStr">
        <is>
          <t>USA - Own Account</t>
        </is>
      </c>
      <c r="F80" s="73" t="n">
        <v>-15877.18</v>
      </c>
      <c r="G80" s="70" t="inlineStr">
        <is>
          <t>USD</t>
        </is>
      </c>
      <c r="H80" s="72" t="n">
        <v>5.2924</v>
      </c>
      <c r="I80" s="70" t="inlineStr">
        <is>
          <t>67995 Self-transfer</t>
        </is>
      </c>
    </row>
    <row r="81">
      <c r="B81" s="189" t="n">
        <v>46095</v>
      </c>
      <c r="C81" s="66" t="inlineStr">
        <is>
          <t>MP Cartão</t>
        </is>
      </c>
      <c r="D81" s="66" t="inlineStr">
        <is>
          <t>Internet</t>
        </is>
      </c>
      <c r="E81" s="66" t="inlineStr">
        <is>
          <t>STARLINK INTERNET</t>
        </is>
      </c>
      <c r="F81" s="74" t="n">
        <v>-235.52</v>
      </c>
      <c r="G81" s="66" t="inlineStr">
        <is>
          <t>BRL</t>
        </is>
      </c>
      <c r="H81" s="68" t="n"/>
      <c r="I81" s="66" t="inlineStr">
        <is>
          <t>Fatura 2026-04</t>
        </is>
      </c>
    </row>
    <row r="82">
      <c r="B82" s="190" t="n">
        <v>46096</v>
      </c>
      <c r="C82" s="70" t="inlineStr">
        <is>
          <t>MP Cartão</t>
        </is>
      </c>
      <c r="D82" s="70" t="inlineStr">
        <is>
          <t>Compras/ML</t>
        </is>
      </c>
      <c r="E82" s="70" t="inlineStr">
        <is>
          <t>MERCADOLIVRE*3PRODUTOS</t>
        </is>
      </c>
      <c r="F82" s="73" t="n">
        <v>-510.37</v>
      </c>
      <c r="G82" s="70" t="inlineStr">
        <is>
          <t>BRL</t>
        </is>
      </c>
      <c r="H82" s="72" t="n"/>
      <c r="I82" s="70" t="inlineStr">
        <is>
          <t>Fatura 2026-04</t>
        </is>
      </c>
    </row>
    <row r="83">
      <c r="B83" s="189" t="n">
        <v>46096</v>
      </c>
      <c r="C83" s="66" t="inlineStr">
        <is>
          <t>Banco Inter</t>
        </is>
      </c>
      <c r="D83" s="66" t="inlineStr">
        <is>
          <t>PIX Out</t>
        </is>
      </c>
      <c r="E83" s="66" t="inlineStr">
        <is>
          <t>Eduardo Forster Giovannini</t>
        </is>
      </c>
      <c r="F83" s="74" t="n">
        <v>-6000</v>
      </c>
      <c r="G83" s="66" t="inlineStr">
        <is>
          <t>BRL</t>
        </is>
      </c>
      <c r="H83" s="68" t="n"/>
      <c r="I83" s="66" t="inlineStr"/>
    </row>
    <row r="84">
      <c r="B84" s="190" t="n">
        <v>46096</v>
      </c>
      <c r="C84" s="70" t="inlineStr">
        <is>
          <t>Banco Inter</t>
        </is>
      </c>
      <c r="D84" s="70" t="inlineStr">
        <is>
          <t>PIX Out</t>
        </is>
      </c>
      <c r="E84" s="70" t="inlineStr">
        <is>
          <t>Mercado Pago Instituicao De Pagamento Ltda</t>
        </is>
      </c>
      <c r="F84" s="73" t="n">
        <v>-4582.41</v>
      </c>
      <c r="G84" s="70" t="inlineStr">
        <is>
          <t>BRL</t>
        </is>
      </c>
      <c r="H84" s="72" t="n"/>
      <c r="I84" s="70" t="inlineStr"/>
    </row>
    <row r="85">
      <c r="B85" s="189" t="n">
        <v>46097</v>
      </c>
      <c r="C85" s="66" t="inlineStr">
        <is>
          <t>MP Cartão</t>
        </is>
      </c>
      <c r="D85" s="66" t="inlineStr">
        <is>
          <t>Outros</t>
        </is>
      </c>
      <c r="E85" s="66" t="inlineStr">
        <is>
          <t>Compra internacional em ALLIANZ EVENT INS</t>
        </is>
      </c>
      <c r="F85" s="74" t="n">
        <v>-478.17</v>
      </c>
      <c r="G85" s="66" t="inlineStr">
        <is>
          <t>BRL</t>
        </is>
      </c>
      <c r="H85" s="68" t="n"/>
      <c r="I85" s="66" t="inlineStr">
        <is>
          <t>Fatura 2026-04</t>
        </is>
      </c>
    </row>
    <row r="86">
      <c r="B86" s="190" t="n">
        <v>46098</v>
      </c>
      <c r="C86" s="70" t="inlineStr">
        <is>
          <t>MP Cartão</t>
        </is>
      </c>
      <c r="D86" s="70" t="inlineStr">
        <is>
          <t>IA/Tecnologia</t>
        </is>
      </c>
      <c r="E86" s="70" t="inlineStr">
        <is>
          <t>Compra internacional em OPENAI *CHATGPT SUBSCR</t>
        </is>
      </c>
      <c r="F86" s="73" t="n">
        <v>-108.89</v>
      </c>
      <c r="G86" s="70" t="inlineStr">
        <is>
          <t>BRL</t>
        </is>
      </c>
      <c r="H86" s="72" t="n"/>
      <c r="I86" s="70" t="inlineStr">
        <is>
          <t>Fatura 2026-04</t>
        </is>
      </c>
    </row>
    <row r="87">
      <c r="B87" s="189" t="n">
        <v>46098</v>
      </c>
      <c r="C87" s="66" t="inlineStr">
        <is>
          <t>Banco Inter</t>
        </is>
      </c>
      <c r="D87" s="66" t="inlineStr">
        <is>
          <t>PIX Out</t>
        </is>
      </c>
      <c r="E87" s="66" t="inlineStr">
        <is>
          <t>Iago Kevyn Santos Moura</t>
        </is>
      </c>
      <c r="F87" s="74" t="n">
        <v>-500</v>
      </c>
      <c r="G87" s="66" t="inlineStr">
        <is>
          <t>BRL</t>
        </is>
      </c>
      <c r="H87" s="68" t="n"/>
      <c r="I87" s="66" t="inlineStr"/>
    </row>
    <row r="88">
      <c r="B88" s="190" t="n">
        <v>46099</v>
      </c>
      <c r="C88" s="70" t="inlineStr">
        <is>
          <t>MP Cartão</t>
        </is>
      </c>
      <c r="D88" s="70" t="inlineStr">
        <is>
          <t>Loteria</t>
        </is>
      </c>
      <c r="E88" s="70" t="inlineStr">
        <is>
          <t>MP*LOTERIASONLINENI9I</t>
        </is>
      </c>
      <c r="F88" s="73" t="n">
        <v>-267</v>
      </c>
      <c r="G88" s="70" t="inlineStr">
        <is>
          <t>BRL</t>
        </is>
      </c>
      <c r="H88" s="72" t="n"/>
      <c r="I88" s="70" t="inlineStr">
        <is>
          <t>Fatura 2026-04</t>
        </is>
      </c>
    </row>
    <row r="89">
      <c r="B89" s="189" t="n">
        <v>46099</v>
      </c>
      <c r="C89" s="66" t="inlineStr">
        <is>
          <t>BB Brasil</t>
        </is>
      </c>
      <c r="D89" s="66" t="inlineStr">
        <is>
          <t>Outbound</t>
        </is>
      </c>
      <c r="E89" s="66" t="inlineStr">
        <is>
          <t>USA - Own Account</t>
        </is>
      </c>
      <c r="F89" s="74" t="n">
        <v>-15963.15</v>
      </c>
      <c r="G89" s="66" t="inlineStr">
        <is>
          <t>USD</t>
        </is>
      </c>
      <c r="H89" s="68" t="n">
        <v>5.3211</v>
      </c>
      <c r="I89" s="66" t="inlineStr">
        <is>
          <t>67995 Self-transfer</t>
        </is>
      </c>
    </row>
    <row r="90">
      <c r="B90" s="190" t="n">
        <v>46100</v>
      </c>
      <c r="C90" s="70" t="inlineStr">
        <is>
          <t>MP Cartão</t>
        </is>
      </c>
      <c r="D90" s="70" t="inlineStr">
        <is>
          <t>Outros</t>
        </is>
      </c>
      <c r="E90" s="70" t="inlineStr">
        <is>
          <t>Compra internacional em INTERNET ARCHIVE</t>
        </is>
      </c>
      <c r="F90" s="73" t="n">
        <v>-53.93</v>
      </c>
      <c r="G90" s="70" t="inlineStr">
        <is>
          <t>BRL</t>
        </is>
      </c>
      <c r="H90" s="72" t="n"/>
      <c r="I90" s="70" t="inlineStr">
        <is>
          <t>Fatura 2026-04</t>
        </is>
      </c>
    </row>
    <row r="91">
      <c r="B91" s="189" t="n">
        <v>46100</v>
      </c>
      <c r="C91" s="66" t="inlineStr">
        <is>
          <t>MP Cartão</t>
        </is>
      </c>
      <c r="D91" s="66" t="inlineStr">
        <is>
          <t>Loteria</t>
        </is>
      </c>
      <c r="E91" s="66" t="inlineStr">
        <is>
          <t>MP*LOTERIASONLINEU38A</t>
        </is>
      </c>
      <c r="F91" s="74" t="n">
        <v>-119</v>
      </c>
      <c r="G91" s="66" t="inlineStr">
        <is>
          <t>BRL</t>
        </is>
      </c>
      <c r="H91" s="68" t="n"/>
      <c r="I91" s="66" t="inlineStr">
        <is>
          <t>Fatura 2026-04</t>
        </is>
      </c>
    </row>
    <row r="92">
      <c r="B92" s="190" t="n">
        <v>46101</v>
      </c>
      <c r="C92" s="70" t="inlineStr">
        <is>
          <t>MP Cartão</t>
        </is>
      </c>
      <c r="D92" s="70" t="inlineStr">
        <is>
          <t>Assinatura</t>
        </is>
      </c>
      <c r="E92" s="70" t="inlineStr">
        <is>
          <t>EC*GOOGLEBRASILPAGAMEN</t>
        </is>
      </c>
      <c r="F92" s="73" t="n">
        <v>-96.98999999999999</v>
      </c>
      <c r="G92" s="70" t="inlineStr">
        <is>
          <t>BRL</t>
        </is>
      </c>
      <c r="H92" s="72" t="n"/>
      <c r="I92" s="70" t="inlineStr">
        <is>
          <t>Fatura 2026-04</t>
        </is>
      </c>
    </row>
    <row r="93">
      <c r="B93" s="189" t="n">
        <v>46101</v>
      </c>
      <c r="C93" s="66" t="inlineStr">
        <is>
          <t>Banco Inter</t>
        </is>
      </c>
      <c r="D93" s="66" t="inlineStr">
        <is>
          <t>PIX Out</t>
        </is>
      </c>
      <c r="E93" s="66" t="inlineStr">
        <is>
          <t>Eduardo Silva Dos Santos</t>
        </is>
      </c>
      <c r="F93" s="74" t="n">
        <v>-350</v>
      </c>
      <c r="G93" s="66" t="inlineStr">
        <is>
          <t>BRL</t>
        </is>
      </c>
      <c r="H93" s="68" t="n"/>
      <c r="I93" s="66" t="inlineStr"/>
    </row>
    <row r="94">
      <c r="B94" s="190" t="n">
        <v>46102</v>
      </c>
      <c r="C94" s="70" t="inlineStr">
        <is>
          <t>MP Cartão</t>
        </is>
      </c>
      <c r="D94" s="70" t="inlineStr">
        <is>
          <t>Compras/ML</t>
        </is>
      </c>
      <c r="E94" s="70" t="inlineStr">
        <is>
          <t>MERCADOLIVRE*5PRODUTOS</t>
        </is>
      </c>
      <c r="F94" s="73" t="n">
        <v>-119.73</v>
      </c>
      <c r="G94" s="70" t="inlineStr">
        <is>
          <t>BRL</t>
        </is>
      </c>
      <c r="H94" s="72" t="n"/>
      <c r="I94" s="70" t="inlineStr">
        <is>
          <t>Fatura 2026-04</t>
        </is>
      </c>
    </row>
    <row r="95">
      <c r="B95" s="189" t="n">
        <v>46102</v>
      </c>
      <c r="C95" s="66" t="inlineStr">
        <is>
          <t>MP Cartão</t>
        </is>
      </c>
      <c r="D95" s="66" t="inlineStr">
        <is>
          <t>IA/Tecnologia</t>
        </is>
      </c>
      <c r="E95" s="66" t="inlineStr">
        <is>
          <t>Compra internacional em MANUS AI</t>
        </is>
      </c>
      <c r="F95" s="74" t="n">
        <v>-546.48</v>
      </c>
      <c r="G95" s="66" t="inlineStr">
        <is>
          <t>BRL</t>
        </is>
      </c>
      <c r="H95" s="68" t="n"/>
      <c r="I95" s="66" t="inlineStr">
        <is>
          <t>Fatura 2026-04</t>
        </is>
      </c>
    </row>
    <row r="96">
      <c r="B96" s="190" t="n">
        <v>46104</v>
      </c>
      <c r="C96" s="70" t="inlineStr">
        <is>
          <t>MP Cartão</t>
        </is>
      </c>
      <c r="D96" s="70" t="inlineStr">
        <is>
          <t>Loteria</t>
        </is>
      </c>
      <c r="E96" s="70" t="inlineStr">
        <is>
          <t>MP*LOTERIASONLINE12Q6</t>
        </is>
      </c>
      <c r="F96" s="73" t="n">
        <v>-107.5</v>
      </c>
      <c r="G96" s="70" t="inlineStr">
        <is>
          <t>BRL</t>
        </is>
      </c>
      <c r="H96" s="72" t="n"/>
      <c r="I96" s="70" t="inlineStr">
        <is>
          <t>Fatura 2026-04</t>
        </is>
      </c>
    </row>
    <row r="97">
      <c r="B97" s="189" t="n">
        <v>46107</v>
      </c>
      <c r="C97" s="66" t="inlineStr">
        <is>
          <t>MP Cartão</t>
        </is>
      </c>
      <c r="D97" s="66" t="inlineStr">
        <is>
          <t>Loteria</t>
        </is>
      </c>
      <c r="E97" s="66" t="inlineStr">
        <is>
          <t>MP*LOTERIASONLINEWM4R</t>
        </is>
      </c>
      <c r="F97" s="74" t="n">
        <v>-161</v>
      </c>
      <c r="G97" s="66" t="inlineStr">
        <is>
          <t>BRL</t>
        </is>
      </c>
      <c r="H97" s="68" t="n"/>
      <c r="I97" s="66" t="inlineStr">
        <is>
          <t>Fatura 2026-04</t>
        </is>
      </c>
    </row>
    <row r="98">
      <c r="B98" s="190" t="n">
        <v>46109</v>
      </c>
      <c r="C98" s="70" t="inlineStr">
        <is>
          <t>MP Cartão</t>
        </is>
      </c>
      <c r="D98" s="70" t="inlineStr">
        <is>
          <t>Loteria</t>
        </is>
      </c>
      <c r="E98" s="70" t="inlineStr">
        <is>
          <t>MP*LOTERIASONLINEKBE8</t>
        </is>
      </c>
      <c r="F98" s="73" t="n">
        <v>-168</v>
      </c>
      <c r="G98" s="70" t="inlineStr">
        <is>
          <t>BRL</t>
        </is>
      </c>
      <c r="H98" s="72" t="n"/>
      <c r="I98" s="70" t="inlineStr">
        <is>
          <t>Fatura 2026-04</t>
        </is>
      </c>
    </row>
    <row r="99">
      <c r="B99" s="189" t="n">
        <v>46109</v>
      </c>
      <c r="C99" s="66" t="inlineStr">
        <is>
          <t>MP Cartão</t>
        </is>
      </c>
      <c r="D99" s="66" t="inlineStr">
        <is>
          <t>Loteria</t>
        </is>
      </c>
      <c r="E99" s="66" t="inlineStr">
        <is>
          <t>MP*LOTERIASONLINEKJOW</t>
        </is>
      </c>
      <c r="F99" s="74" t="n">
        <v>-104</v>
      </c>
      <c r="G99" s="66" t="inlineStr">
        <is>
          <t>BRL</t>
        </is>
      </c>
      <c r="H99" s="68" t="n"/>
      <c r="I99" s="66" t="inlineStr">
        <is>
          <t>Fatura 2026-04</t>
        </is>
      </c>
    </row>
    <row r="100">
      <c r="B100" s="190" t="n">
        <v>46111</v>
      </c>
      <c r="C100" s="70" t="inlineStr">
        <is>
          <t>MP Cartão</t>
        </is>
      </c>
      <c r="D100" s="70" t="inlineStr">
        <is>
          <t>Outros</t>
        </is>
      </c>
      <c r="E100" s="70" t="inlineStr">
        <is>
          <t>Compra internacional em GROK XAI</t>
        </is>
      </c>
      <c r="F100" s="73" t="n">
        <v>-81.36</v>
      </c>
      <c r="G100" s="70" t="inlineStr">
        <is>
          <t>BRL</t>
        </is>
      </c>
      <c r="H100" s="72" t="n"/>
      <c r="I100" s="70" t="inlineStr">
        <is>
          <t>Fatura 2026-04</t>
        </is>
      </c>
    </row>
    <row r="101">
      <c r="B101" s="189" t="n">
        <v>46111</v>
      </c>
      <c r="C101" s="66" t="inlineStr">
        <is>
          <t>MP Cartão</t>
        </is>
      </c>
      <c r="D101" s="66" t="inlineStr">
        <is>
          <t>Assinatura</t>
        </is>
      </c>
      <c r="E101" s="66" t="inlineStr">
        <is>
          <t>APPLECOMBILL</t>
        </is>
      </c>
      <c r="F101" s="74" t="n">
        <v>-99.90000000000001</v>
      </c>
      <c r="G101" s="66" t="inlineStr">
        <is>
          <t>BRL</t>
        </is>
      </c>
      <c r="H101" s="68" t="n"/>
      <c r="I101" s="66" t="inlineStr">
        <is>
          <t>Fatura 2026-04</t>
        </is>
      </c>
    </row>
    <row r="102">
      <c r="B102" s="190" t="n">
        <v>46113</v>
      </c>
      <c r="C102" s="70" t="inlineStr">
        <is>
          <t>MP Cartão</t>
        </is>
      </c>
      <c r="D102" s="70" t="inlineStr">
        <is>
          <t>IA/Tecnologia</t>
        </is>
      </c>
      <c r="E102" s="70" t="inlineStr">
        <is>
          <t>Compra internacional em CURSOR, AI POWERED IDE</t>
        </is>
      </c>
      <c r="F102" s="73" t="n">
        <v>-111.81</v>
      </c>
      <c r="G102" s="70" t="inlineStr">
        <is>
          <t>BRL</t>
        </is>
      </c>
      <c r="H102" s="72" t="n"/>
      <c r="I102" s="70" t="inlineStr">
        <is>
          <t>Fatura 2026-04</t>
        </is>
      </c>
    </row>
    <row r="103">
      <c r="B103" s="189" t="n">
        <v>46115</v>
      </c>
      <c r="C103" s="66" t="inlineStr">
        <is>
          <t>MP Cartão</t>
        </is>
      </c>
      <c r="D103" s="66" t="inlineStr">
        <is>
          <t>Internet</t>
        </is>
      </c>
      <c r="E103" s="66" t="inlineStr">
        <is>
          <t>STARLINK INTERNET</t>
        </is>
      </c>
      <c r="F103" s="74" t="n">
        <v>-235.52</v>
      </c>
      <c r="G103" s="66" t="inlineStr">
        <is>
          <t>BRL</t>
        </is>
      </c>
      <c r="H103" s="68" t="n"/>
      <c r="I103" s="66" t="inlineStr">
        <is>
          <t>Fatura 2026-04</t>
        </is>
      </c>
    </row>
    <row r="104">
      <c r="B104" s="190" t="n">
        <v>46115</v>
      </c>
      <c r="C104" s="70" t="inlineStr">
        <is>
          <t>MP Cartão</t>
        </is>
      </c>
      <c r="D104" s="70" t="inlineStr">
        <is>
          <t>Loteria</t>
        </is>
      </c>
      <c r="E104" s="70" t="inlineStr">
        <is>
          <t>MP*LOTERIASONLINEDVRW</t>
        </is>
      </c>
      <c r="F104" s="73" t="n">
        <v>-336</v>
      </c>
      <c r="G104" s="70" t="inlineStr">
        <is>
          <t>BRL</t>
        </is>
      </c>
      <c r="H104" s="72" t="n"/>
      <c r="I104" s="70" t="inlineStr">
        <is>
          <t>Fatura 2026-04</t>
        </is>
      </c>
    </row>
    <row r="105">
      <c r="B105" s="189" t="n">
        <v>46115</v>
      </c>
      <c r="C105" s="66" t="inlineStr">
        <is>
          <t>MP Cartão</t>
        </is>
      </c>
      <c r="D105" s="66" t="inlineStr">
        <is>
          <t>Delivery/iFood</t>
        </is>
      </c>
      <c r="E105" s="66" t="inlineStr">
        <is>
          <t>IFD*MATTERELLO PIZZARI</t>
        </is>
      </c>
      <c r="F105" s="74" t="n">
        <v>-165.69</v>
      </c>
      <c r="G105" s="66" t="inlineStr">
        <is>
          <t>BRL</t>
        </is>
      </c>
      <c r="H105" s="68" t="n"/>
      <c r="I105" s="66" t="inlineStr">
        <is>
          <t>Fatura 2026-04</t>
        </is>
      </c>
    </row>
    <row r="106">
      <c r="B106" s="190" t="n">
        <v>46115</v>
      </c>
      <c r="C106" s="70" t="inlineStr">
        <is>
          <t>MP Cartão</t>
        </is>
      </c>
      <c r="D106" s="70" t="inlineStr">
        <is>
          <t>Compras/ML</t>
        </is>
      </c>
      <c r="E106" s="70" t="inlineStr">
        <is>
          <t>MERCADOLIVRE*3PRODUTOS</t>
        </is>
      </c>
      <c r="F106" s="73" t="n">
        <v>-602.9</v>
      </c>
      <c r="G106" s="70" t="inlineStr">
        <is>
          <t>BRL</t>
        </is>
      </c>
      <c r="H106" s="72" t="n"/>
      <c r="I106" s="70" t="inlineStr">
        <is>
          <t>Fatura 2026-04</t>
        </is>
      </c>
    </row>
    <row r="107">
      <c r="B107" s="189" t="n">
        <v>46116</v>
      </c>
      <c r="C107" s="66" t="inlineStr">
        <is>
          <t>MP Cartão</t>
        </is>
      </c>
      <c r="D107" s="66" t="inlineStr">
        <is>
          <t>Loteria</t>
        </is>
      </c>
      <c r="E107" s="66" t="inlineStr">
        <is>
          <t>MP*LOTERIASONLINE9CYW</t>
        </is>
      </c>
      <c r="F107" s="74" t="n">
        <v>-89.5</v>
      </c>
      <c r="G107" s="66" t="inlineStr">
        <is>
          <t>BRL</t>
        </is>
      </c>
      <c r="H107" s="68" t="n"/>
      <c r="I107" s="66" t="inlineStr">
        <is>
          <t>Fatura 2026-04</t>
        </is>
      </c>
    </row>
    <row r="108">
      <c r="B108" s="190" t="n">
        <v>46117</v>
      </c>
      <c r="C108" s="70" t="inlineStr">
        <is>
          <t>MP Cartão</t>
        </is>
      </c>
      <c r="D108" s="70" t="inlineStr">
        <is>
          <t>IA/Tecnologia</t>
        </is>
      </c>
      <c r="E108" s="70" t="inlineStr">
        <is>
          <t>Compra internacional em OPENAI *CHATGPT SUBSCR</t>
        </is>
      </c>
      <c r="F108" s="73" t="n">
        <v>-107.02</v>
      </c>
      <c r="G108" s="70" t="inlineStr">
        <is>
          <t>BRL</t>
        </is>
      </c>
      <c r="H108" s="72" t="n"/>
      <c r="I108" s="70" t="inlineStr">
        <is>
          <t>Fatura 2026-05</t>
        </is>
      </c>
    </row>
    <row r="109">
      <c r="B109" s="189" t="n">
        <v>46120</v>
      </c>
      <c r="C109" s="66" t="inlineStr">
        <is>
          <t>MP Cartão</t>
        </is>
      </c>
      <c r="D109" s="66" t="inlineStr">
        <is>
          <t>Assinatura</t>
        </is>
      </c>
      <c r="E109" s="66" t="inlineStr">
        <is>
          <t>APPLECOMBILL</t>
        </is>
      </c>
      <c r="F109" s="74" t="n">
        <v>-21.9</v>
      </c>
      <c r="G109" s="66" t="inlineStr">
        <is>
          <t>BRL</t>
        </is>
      </c>
      <c r="H109" s="68" t="n"/>
      <c r="I109" s="66" t="inlineStr">
        <is>
          <t>Fatura 2026-05</t>
        </is>
      </c>
    </row>
    <row r="110">
      <c r="B110" s="190" t="n">
        <v>46120</v>
      </c>
      <c r="C110" s="70" t="inlineStr">
        <is>
          <t>MP Cartão</t>
        </is>
      </c>
      <c r="D110" s="70" t="inlineStr">
        <is>
          <t>IA/Tecnologia</t>
        </is>
      </c>
      <c r="E110" s="70" t="inlineStr">
        <is>
          <t>Compra internacional em GITHUB, INC.</t>
        </is>
      </c>
      <c r="F110" s="73" t="n">
        <v>-53.41</v>
      </c>
      <c r="G110" s="70" t="inlineStr">
        <is>
          <t>BRL</t>
        </is>
      </c>
      <c r="H110" s="72" t="n"/>
      <c r="I110" s="70" t="inlineStr">
        <is>
          <t>Fatura 2026-05</t>
        </is>
      </c>
    </row>
    <row r="111">
      <c r="B111" s="189" t="n">
        <v>46122</v>
      </c>
      <c r="C111" s="66" t="inlineStr">
        <is>
          <t>MP Cartão</t>
        </is>
      </c>
      <c r="D111" s="66" t="inlineStr">
        <is>
          <t>Assinatura</t>
        </is>
      </c>
      <c r="E111" s="66" t="inlineStr">
        <is>
          <t>APPLECOMBILL</t>
        </is>
      </c>
      <c r="F111" s="74" t="n">
        <v>-19.9</v>
      </c>
      <c r="G111" s="66" t="inlineStr">
        <is>
          <t>BRL</t>
        </is>
      </c>
      <c r="H111" s="68" t="n"/>
      <c r="I111" s="66" t="inlineStr">
        <is>
          <t>Fatura 2026-05</t>
        </is>
      </c>
    </row>
    <row r="112">
      <c r="B112" s="190" t="n">
        <v>46123</v>
      </c>
      <c r="C112" s="70" t="inlineStr">
        <is>
          <t>MP Cartão</t>
        </is>
      </c>
      <c r="D112" s="70" t="inlineStr">
        <is>
          <t>Delivery/iFood</t>
        </is>
      </c>
      <c r="E112" s="70" t="inlineStr">
        <is>
          <t>IFD*iFood</t>
        </is>
      </c>
      <c r="F112" s="73" t="n">
        <v>-7.95</v>
      </c>
      <c r="G112" s="70" t="inlineStr">
        <is>
          <t>BRL</t>
        </is>
      </c>
      <c r="H112" s="72" t="n"/>
      <c r="I112" s="70" t="inlineStr">
        <is>
          <t>Fatura 2026-05</t>
        </is>
      </c>
    </row>
    <row r="113">
      <c r="B113" s="189" t="n">
        <v>46128</v>
      </c>
      <c r="C113" s="66" t="inlineStr">
        <is>
          <t>MP Cartão</t>
        </is>
      </c>
      <c r="D113" s="66" t="inlineStr">
        <is>
          <t>Loteria</t>
        </is>
      </c>
      <c r="E113" s="66" t="inlineStr">
        <is>
          <t>MP*LOTERIASONLINE2FE1</t>
        </is>
      </c>
      <c r="F113" s="74" t="n">
        <v>-168</v>
      </c>
      <c r="G113" s="66" t="inlineStr">
        <is>
          <t>BRL</t>
        </is>
      </c>
      <c r="H113" s="68" t="n"/>
      <c r="I113" s="66" t="inlineStr">
        <is>
          <t>Fatura 2026-05</t>
        </is>
      </c>
    </row>
    <row r="114">
      <c r="B114" s="190" t="n">
        <v>46128</v>
      </c>
      <c r="C114" s="70" t="inlineStr">
        <is>
          <t>MP Cartão</t>
        </is>
      </c>
      <c r="D114" s="70" t="inlineStr">
        <is>
          <t>Loteria</t>
        </is>
      </c>
      <c r="E114" s="70" t="inlineStr">
        <is>
          <t>MP*LOTERIASONLINE34H0</t>
        </is>
      </c>
      <c r="F114" s="73" t="n">
        <v>-100.5</v>
      </c>
      <c r="G114" s="70" t="inlineStr">
        <is>
          <t>BRL</t>
        </is>
      </c>
      <c r="H114" s="72" t="n"/>
      <c r="I114" s="70" t="inlineStr">
        <is>
          <t>Fatura 2026-05</t>
        </is>
      </c>
    </row>
    <row r="115">
      <c r="B115" s="189" t="n">
        <v>46128</v>
      </c>
      <c r="C115" s="66" t="inlineStr">
        <is>
          <t>MP Cartão</t>
        </is>
      </c>
      <c r="D115" s="66" t="inlineStr">
        <is>
          <t>Compras/ML</t>
        </is>
      </c>
      <c r="E115" s="66" t="inlineStr">
        <is>
          <t>MERCADOLIVRE*MERCADOLI</t>
        </is>
      </c>
      <c r="F115" s="74" t="n">
        <v>-72.89</v>
      </c>
      <c r="G115" s="66" t="inlineStr">
        <is>
          <t>BRL</t>
        </is>
      </c>
      <c r="H115" s="68" t="n"/>
      <c r="I115" s="66" t="inlineStr">
        <is>
          <t>Fatura 2026-05</t>
        </is>
      </c>
    </row>
    <row r="116">
      <c r="B116" s="190" t="n">
        <v>46129</v>
      </c>
      <c r="C116" s="70" t="inlineStr">
        <is>
          <t>MP Cartão</t>
        </is>
      </c>
      <c r="D116" s="70" t="inlineStr">
        <is>
          <t>IA/Tecnologia</t>
        </is>
      </c>
      <c r="E116" s="70" t="inlineStr">
        <is>
          <t>Compra internacional em OPENAI *CHATGPT SUBSCR</t>
        </is>
      </c>
      <c r="F116" s="73" t="n">
        <v>-103.5</v>
      </c>
      <c r="G116" s="70" t="inlineStr">
        <is>
          <t>BRL</t>
        </is>
      </c>
      <c r="H116" s="72" t="n"/>
      <c r="I116" s="70" t="inlineStr">
        <is>
          <t>Fatura 2026-05</t>
        </is>
      </c>
    </row>
    <row r="117">
      <c r="B117" s="189" t="n">
        <v>46132</v>
      </c>
      <c r="C117" s="66" t="inlineStr">
        <is>
          <t>MP Cartão</t>
        </is>
      </c>
      <c r="D117" s="66" t="inlineStr">
        <is>
          <t>Delivery/iFood</t>
        </is>
      </c>
      <c r="E117" s="66" t="inlineStr">
        <is>
          <t>IFD*JURASSIC PIZZA BES</t>
        </is>
      </c>
      <c r="F117" s="74" t="n">
        <v>-74.88</v>
      </c>
      <c r="G117" s="66" t="inlineStr">
        <is>
          <t>BRL</t>
        </is>
      </c>
      <c r="H117" s="68" t="n"/>
      <c r="I117" s="66" t="inlineStr">
        <is>
          <t>Fatura 2026-05</t>
        </is>
      </c>
    </row>
    <row r="118">
      <c r="B118" s="190" t="n">
        <v>46132</v>
      </c>
      <c r="C118" s="70" t="inlineStr">
        <is>
          <t>MP Cartão</t>
        </is>
      </c>
      <c r="D118" s="70" t="inlineStr">
        <is>
          <t>Outros</t>
        </is>
      </c>
      <c r="E118" s="70" t="inlineStr">
        <is>
          <t>MICROSOFT*STORE</t>
        </is>
      </c>
      <c r="F118" s="73" t="n">
        <v>-509</v>
      </c>
      <c r="G118" s="70" t="inlineStr">
        <is>
          <t>BRL</t>
        </is>
      </c>
      <c r="H118" s="72" t="n"/>
      <c r="I118" s="70" t="inlineStr">
        <is>
          <t>Fatura 2026-05</t>
        </is>
      </c>
    </row>
    <row r="119">
      <c r="B119" s="189" t="n">
        <v>46133</v>
      </c>
      <c r="C119" s="66" t="inlineStr">
        <is>
          <t>MP Cartão</t>
        </is>
      </c>
      <c r="D119" s="66" t="inlineStr">
        <is>
          <t>Compras/ML</t>
        </is>
      </c>
      <c r="E119" s="66" t="inlineStr">
        <is>
          <t>MERCADOLIVRE*PKFLEXLTDA</t>
        </is>
      </c>
      <c r="F119" s="74" t="n">
        <v>-111.83</v>
      </c>
      <c r="G119" s="66" t="inlineStr">
        <is>
          <t>BRL</t>
        </is>
      </c>
      <c r="H119" s="68" t="n"/>
      <c r="I119" s="66" t="inlineStr">
        <is>
          <t>Fatura 2026-05</t>
        </is>
      </c>
    </row>
    <row r="120">
      <c r="B120" s="190" t="n">
        <v>46133</v>
      </c>
      <c r="C120" s="70" t="inlineStr">
        <is>
          <t>MP Cartão</t>
        </is>
      </c>
      <c r="D120" s="70" t="inlineStr">
        <is>
          <t>IA/Tecnologia</t>
        </is>
      </c>
      <c r="E120" s="70" t="inlineStr">
        <is>
          <t>Compra internacional em MANUS AI</t>
        </is>
      </c>
      <c r="F120" s="73" t="n">
        <v>-515.4299999999999</v>
      </c>
      <c r="G120" s="70" t="inlineStr">
        <is>
          <t>BRL</t>
        </is>
      </c>
      <c r="H120" s="72" t="n"/>
      <c r="I120" s="70" t="inlineStr">
        <is>
          <t>Fatura 2026-05</t>
        </is>
      </c>
    </row>
    <row r="121">
      <c r="B121" s="189" t="n">
        <v>46133</v>
      </c>
      <c r="C121" s="66" t="inlineStr">
        <is>
          <t>Banco Inter</t>
        </is>
      </c>
      <c r="D121" s="66" t="inlineStr">
        <is>
          <t>PIX Out</t>
        </is>
      </c>
      <c r="E121" s="66" t="inlineStr">
        <is>
          <t>Eduardo Forster Giovannini</t>
        </is>
      </c>
      <c r="F121" s="74" t="n">
        <v>-3000</v>
      </c>
      <c r="G121" s="66" t="inlineStr">
        <is>
          <t>BRL</t>
        </is>
      </c>
      <c r="H121" s="68" t="n"/>
      <c r="I121" s="66" t="inlineStr"/>
    </row>
    <row r="122">
      <c r="B122" s="190" t="n">
        <v>46134</v>
      </c>
      <c r="C122" s="70" t="inlineStr">
        <is>
          <t>MP Cartão</t>
        </is>
      </c>
      <c r="D122" s="70" t="inlineStr">
        <is>
          <t>Outros</t>
        </is>
      </c>
      <c r="E122" s="70" t="inlineStr">
        <is>
          <t>MP*EDUARDOGIOVAN</t>
        </is>
      </c>
      <c r="F122" s="73" t="n">
        <v>-201.72</v>
      </c>
      <c r="G122" s="70" t="inlineStr">
        <is>
          <t>BRL</t>
        </is>
      </c>
      <c r="H122" s="72" t="n"/>
      <c r="I122" s="70" t="inlineStr">
        <is>
          <t>Fatura 2026-05</t>
        </is>
      </c>
    </row>
    <row r="123">
      <c r="B123" s="189" t="n">
        <v>46134</v>
      </c>
      <c r="C123" s="66" t="inlineStr">
        <is>
          <t>BB Brasil</t>
        </is>
      </c>
      <c r="D123" s="66" t="inlineStr">
        <is>
          <t>Outbound</t>
        </is>
      </c>
      <c r="E123" s="66" t="inlineStr">
        <is>
          <t>USA - Own Account</t>
        </is>
      </c>
      <c r="F123" s="74" t="n">
        <v>-15878.08</v>
      </c>
      <c r="G123" s="66" t="inlineStr">
        <is>
          <t>USD</t>
        </is>
      </c>
      <c r="H123" s="68" t="n">
        <v>5.2927</v>
      </c>
      <c r="I123" s="66" t="inlineStr">
        <is>
          <t>67995 Self-transfer</t>
        </is>
      </c>
    </row>
    <row r="124">
      <c r="B124" s="190" t="n">
        <v>46135</v>
      </c>
      <c r="C124" s="70" t="inlineStr">
        <is>
          <t>MP Cartão</t>
        </is>
      </c>
      <c r="D124" s="70" t="inlineStr">
        <is>
          <t>IA/Tecnologia</t>
        </is>
      </c>
      <c r="E124" s="70" t="inlineStr">
        <is>
          <t>Compra internacional em CLOUDFLARE</t>
        </is>
      </c>
      <c r="F124" s="73" t="n">
        <v>-107.61</v>
      </c>
      <c r="G124" s="70" t="inlineStr">
        <is>
          <t>BRL</t>
        </is>
      </c>
      <c r="H124" s="72" t="n"/>
      <c r="I124" s="70" t="inlineStr">
        <is>
          <t>Fatura 2026-05</t>
        </is>
      </c>
    </row>
    <row r="125">
      <c r="B125" s="189" t="n">
        <v>46135</v>
      </c>
      <c r="C125" s="66" t="inlineStr">
        <is>
          <t>MP Cartão</t>
        </is>
      </c>
      <c r="D125" s="66" t="inlineStr">
        <is>
          <t>Transporte</t>
        </is>
      </c>
      <c r="E125" s="66" t="inlineStr">
        <is>
          <t>UBER * PENDING</t>
        </is>
      </c>
      <c r="F125" s="74" t="n">
        <v>-8.140000000000001</v>
      </c>
      <c r="G125" s="66" t="inlineStr">
        <is>
          <t>BRL</t>
        </is>
      </c>
      <c r="H125" s="68" t="n"/>
      <c r="I125" s="66" t="inlineStr">
        <is>
          <t>Fatura 2026-05</t>
        </is>
      </c>
    </row>
    <row r="126">
      <c r="B126" s="190" t="n">
        <v>46135</v>
      </c>
      <c r="C126" s="70" t="inlineStr">
        <is>
          <t>MP Cartão</t>
        </is>
      </c>
      <c r="D126" s="70" t="inlineStr">
        <is>
          <t>Loteria</t>
        </is>
      </c>
      <c r="E126" s="70" t="inlineStr">
        <is>
          <t>MP*LOTERIASONLINE72W6</t>
        </is>
      </c>
      <c r="F126" s="73" t="n">
        <v>-336</v>
      </c>
      <c r="G126" s="70" t="inlineStr">
        <is>
          <t>BRL</t>
        </is>
      </c>
      <c r="H126" s="72" t="n"/>
      <c r="I126" s="70" t="inlineStr">
        <is>
          <t>Fatura 2026-05</t>
        </is>
      </c>
    </row>
    <row r="127">
      <c r="B127" s="189" t="n">
        <v>46136</v>
      </c>
      <c r="C127" s="66" t="inlineStr">
        <is>
          <t>MP Cartão</t>
        </is>
      </c>
      <c r="D127" s="66" t="inlineStr">
        <is>
          <t>Assinatura</t>
        </is>
      </c>
      <c r="E127" s="66" t="inlineStr">
        <is>
          <t>APPLE.COM/BILL.</t>
        </is>
      </c>
      <c r="F127" s="74" t="n">
        <v>-31.9</v>
      </c>
      <c r="G127" s="66" t="inlineStr">
        <is>
          <t>BRL</t>
        </is>
      </c>
      <c r="H127" s="68" t="n"/>
      <c r="I127" s="66" t="inlineStr">
        <is>
          <t>Fatura 2026-05</t>
        </is>
      </c>
    </row>
    <row r="128">
      <c r="B128" s="190" t="n">
        <v>46136</v>
      </c>
      <c r="C128" s="70" t="inlineStr">
        <is>
          <t>MP Cartão</t>
        </is>
      </c>
      <c r="D128" s="70" t="inlineStr">
        <is>
          <t>Transporte</t>
        </is>
      </c>
      <c r="E128" s="70" t="inlineStr">
        <is>
          <t>UBER * PENDING</t>
        </is>
      </c>
      <c r="F128" s="73" t="n">
        <v>-9.960000000000001</v>
      </c>
      <c r="G128" s="70" t="inlineStr">
        <is>
          <t>BRL</t>
        </is>
      </c>
      <c r="H128" s="72" t="n"/>
      <c r="I128" s="70" t="inlineStr">
        <is>
          <t>Fatura 2026-05</t>
        </is>
      </c>
    </row>
    <row r="129">
      <c r="B129" s="189" t="n">
        <v>46136</v>
      </c>
      <c r="C129" s="66" t="inlineStr">
        <is>
          <t>Banco Inter</t>
        </is>
      </c>
      <c r="D129" s="66" t="inlineStr">
        <is>
          <t>PIX Out</t>
        </is>
      </c>
      <c r="E129" s="66" t="inlineStr">
        <is>
          <t>37202818 Jose Periclis De Sousa Da Costa</t>
        </is>
      </c>
      <c r="F129" s="74" t="n">
        <v>-6800</v>
      </c>
      <c r="G129" s="66" t="inlineStr">
        <is>
          <t>BRL</t>
        </is>
      </c>
      <c r="H129" s="68" t="n"/>
      <c r="I129" s="66" t="inlineStr"/>
    </row>
    <row r="130">
      <c r="B130" s="190" t="n">
        <v>46137</v>
      </c>
      <c r="C130" s="70" t="inlineStr">
        <is>
          <t>MP Cartão</t>
        </is>
      </c>
      <c r="D130" s="70" t="inlineStr">
        <is>
          <t>Loteria</t>
        </is>
      </c>
      <c r="E130" s="70" t="inlineStr">
        <is>
          <t>MP*LOTERIASONLINEN7GJ</t>
        </is>
      </c>
      <c r="F130" s="73" t="n">
        <v>-168</v>
      </c>
      <c r="G130" s="70" t="inlineStr">
        <is>
          <t>BRL</t>
        </is>
      </c>
      <c r="H130" s="72" t="n"/>
      <c r="I130" s="70" t="inlineStr">
        <is>
          <t>Fatura 2026-05</t>
        </is>
      </c>
    </row>
    <row r="131">
      <c r="B131" s="189" t="n">
        <v>46139</v>
      </c>
      <c r="C131" s="66" t="inlineStr">
        <is>
          <t>MP Cartão</t>
        </is>
      </c>
      <c r="D131" s="66" t="inlineStr">
        <is>
          <t>IA/Tecnologia</t>
        </is>
      </c>
      <c r="E131" s="66" t="inlineStr">
        <is>
          <t>Compra internacional em WWW.PERPLEXITY.AI</t>
        </is>
      </c>
      <c r="F131" s="74" t="n">
        <v>-103.71</v>
      </c>
      <c r="G131" s="66" t="inlineStr">
        <is>
          <t>BRL</t>
        </is>
      </c>
      <c r="H131" s="68" t="n"/>
      <c r="I131" s="66" t="inlineStr">
        <is>
          <t>Fatura 2026-05</t>
        </is>
      </c>
    </row>
    <row r="132">
      <c r="B132" s="190" t="n">
        <v>46139</v>
      </c>
      <c r="C132" s="70" t="inlineStr">
        <is>
          <t>MP Cartão</t>
        </is>
      </c>
      <c r="D132" s="70" t="inlineStr">
        <is>
          <t>Compras/ML</t>
        </is>
      </c>
      <c r="E132" s="70" t="inlineStr">
        <is>
          <t>MERCADOLIVRE*LINA</t>
        </is>
      </c>
      <c r="F132" s="73" t="n">
        <v>-106.98</v>
      </c>
      <c r="G132" s="70" t="inlineStr">
        <is>
          <t>BRL</t>
        </is>
      </c>
      <c r="H132" s="72" t="n"/>
      <c r="I132" s="70" t="inlineStr">
        <is>
          <t>Fatura 2026-05</t>
        </is>
      </c>
    </row>
    <row r="133">
      <c r="B133" s="189" t="n">
        <v>46139</v>
      </c>
      <c r="C133" s="66" t="inlineStr">
        <is>
          <t>MP Cartão</t>
        </is>
      </c>
      <c r="D133" s="66" t="inlineStr">
        <is>
          <t>Compras/ML</t>
        </is>
      </c>
      <c r="E133" s="66" t="inlineStr">
        <is>
          <t>MERCADOLIVRE*MERCADOLIVRE</t>
        </is>
      </c>
      <c r="F133" s="74" t="n">
        <v>-483.98</v>
      </c>
      <c r="G133" s="66" t="inlineStr">
        <is>
          <t>BRL</t>
        </is>
      </c>
      <c r="H133" s="68" t="n"/>
      <c r="I133" s="66" t="inlineStr">
        <is>
          <t>Fatura 2026-05</t>
        </is>
      </c>
    </row>
    <row r="134">
      <c r="B134" s="190" t="n">
        <v>46139</v>
      </c>
      <c r="C134" s="70" t="inlineStr">
        <is>
          <t>MP Cartão</t>
        </is>
      </c>
      <c r="D134" s="70" t="inlineStr">
        <is>
          <t>Delivery/iFood</t>
        </is>
      </c>
      <c r="E134" s="70" t="inlineStr">
        <is>
          <t>IFD*BIANCA DOS SANTOS</t>
        </is>
      </c>
      <c r="F134" s="73" t="n">
        <v>-92.89</v>
      </c>
      <c r="G134" s="70" t="inlineStr">
        <is>
          <t>BRL</t>
        </is>
      </c>
      <c r="H134" s="72" t="n"/>
      <c r="I134" s="70" t="inlineStr">
        <is>
          <t>Fatura 2026-05</t>
        </is>
      </c>
    </row>
    <row r="135">
      <c r="B135" s="189" t="n">
        <v>46140</v>
      </c>
      <c r="C135" s="66" t="inlineStr">
        <is>
          <t>Banco Inter</t>
        </is>
      </c>
      <c r="D135" s="66" t="inlineStr">
        <is>
          <t>PIX In</t>
        </is>
      </c>
      <c r="E135" s="66" t="inlineStr">
        <is>
          <t>Eduardo F Giovannini</t>
        </is>
      </c>
      <c r="F135" s="67" t="n">
        <v>40000</v>
      </c>
      <c r="G135" s="66" t="inlineStr">
        <is>
          <t>BRL</t>
        </is>
      </c>
      <c r="H135" s="68" t="n"/>
      <c r="I135" s="66" t="inlineStr"/>
    </row>
    <row r="136">
      <c r="B136" s="190" t="n">
        <v>46140</v>
      </c>
      <c r="C136" s="70" t="inlineStr">
        <is>
          <t>Banco Inter</t>
        </is>
      </c>
      <c r="D136" s="70" t="inlineStr">
        <is>
          <t>PIX Out</t>
        </is>
      </c>
      <c r="E136" s="70" t="inlineStr">
        <is>
          <t>Gloria Raquel M C Nobrega</t>
        </is>
      </c>
      <c r="F136" s="73" t="n">
        <v>-50</v>
      </c>
      <c r="G136" s="70" t="inlineStr">
        <is>
          <t>BRL</t>
        </is>
      </c>
      <c r="H136" s="72" t="n"/>
      <c r="I136" s="70" t="inlineStr"/>
    </row>
    <row r="137">
      <c r="B137" s="189" t="n">
        <v>46140</v>
      </c>
      <c r="C137" s="66" t="inlineStr">
        <is>
          <t>Banco Inter</t>
        </is>
      </c>
      <c r="D137" s="66" t="inlineStr">
        <is>
          <t>PIX Out</t>
        </is>
      </c>
      <c r="E137" s="66" t="inlineStr">
        <is>
          <t>Mag Administracao De Negocios Ltda</t>
        </is>
      </c>
      <c r="F137" s="74" t="n">
        <v>-10</v>
      </c>
      <c r="G137" s="66" t="inlineStr">
        <is>
          <t>BRL</t>
        </is>
      </c>
      <c r="H137" s="68" t="n"/>
      <c r="I137" s="66" t="inlineStr"/>
    </row>
    <row r="138">
      <c r="B138" s="190" t="n">
        <v>46140</v>
      </c>
      <c r="C138" s="70" t="inlineStr">
        <is>
          <t>Banco Inter</t>
        </is>
      </c>
      <c r="D138" s="70" t="inlineStr">
        <is>
          <t>PIX Out</t>
        </is>
      </c>
      <c r="E138" s="70" t="inlineStr">
        <is>
          <t>Eduardo Silva Dos Santos</t>
        </is>
      </c>
      <c r="F138" s="73" t="n">
        <v>-470</v>
      </c>
      <c r="G138" s="70" t="inlineStr">
        <is>
          <t>BRL</t>
        </is>
      </c>
      <c r="H138" s="72" t="n"/>
      <c r="I138" s="70" t="inlineStr"/>
    </row>
    <row r="139">
      <c r="B139" s="189" t="n">
        <v>46142</v>
      </c>
      <c r="C139" s="66" t="inlineStr">
        <is>
          <t>MP Cartão</t>
        </is>
      </c>
      <c r="D139" s="66" t="inlineStr">
        <is>
          <t>IA/Tecnologia</t>
        </is>
      </c>
      <c r="E139" s="66" t="inlineStr">
        <is>
          <t>Compra internacional em WWW.PERPLEXITY.AI</t>
        </is>
      </c>
      <c r="F139" s="74" t="n">
        <v>-155.25</v>
      </c>
      <c r="G139" s="66" t="inlineStr">
        <is>
          <t>BRL</t>
        </is>
      </c>
      <c r="H139" s="68" t="n"/>
      <c r="I139" s="66" t="inlineStr">
        <is>
          <t>Fatura 2026-05</t>
        </is>
      </c>
    </row>
    <row r="140">
      <c r="B140" s="190" t="n">
        <v>46142</v>
      </c>
      <c r="C140" s="70" t="inlineStr">
        <is>
          <t>MP Cartão</t>
        </is>
      </c>
      <c r="D140" s="70" t="inlineStr">
        <is>
          <t>Assinatura</t>
        </is>
      </c>
      <c r="E140" s="70" t="inlineStr">
        <is>
          <t>APPLE.COM/BILL.</t>
        </is>
      </c>
      <c r="F140" s="73" t="n">
        <v>-99.90000000000001</v>
      </c>
      <c r="G140" s="70" t="inlineStr">
        <is>
          <t>BRL</t>
        </is>
      </c>
      <c r="H140" s="72" t="n"/>
      <c r="I140" s="70" t="inlineStr">
        <is>
          <t>Fatura 2026-05</t>
        </is>
      </c>
    </row>
    <row r="141">
      <c r="B141" s="189" t="n">
        <v>46142</v>
      </c>
      <c r="C141" s="66" t="inlineStr">
        <is>
          <t>MP Cartão</t>
        </is>
      </c>
      <c r="D141" s="66" t="inlineStr">
        <is>
          <t>Transporte</t>
        </is>
      </c>
      <c r="E141" s="66" t="inlineStr">
        <is>
          <t>UBER * PENDING</t>
        </is>
      </c>
      <c r="F141" s="74" t="n">
        <v>-16.77</v>
      </c>
      <c r="G141" s="66" t="inlineStr">
        <is>
          <t>BRL</t>
        </is>
      </c>
      <c r="H141" s="68" t="n"/>
      <c r="I141" s="66" t="inlineStr">
        <is>
          <t>Fatura 2026-05</t>
        </is>
      </c>
    </row>
    <row r="142">
      <c r="B142" s="190" t="n">
        <v>46142</v>
      </c>
      <c r="C142" s="70" t="inlineStr">
        <is>
          <t>Banco Topázio</t>
        </is>
      </c>
      <c r="D142" s="70" t="inlineStr">
        <is>
          <t>IB Deposit</t>
        </is>
      </c>
      <c r="E142" s="70" t="inlineStr">
        <is>
          <t>Interactive Brokers</t>
        </is>
      </c>
      <c r="F142" s="71" t="n">
        <v>503.62</v>
      </c>
      <c r="G142" s="70" t="inlineStr">
        <is>
          <t>USD</t>
        </is>
      </c>
      <c r="H142" s="72" t="n">
        <v>5.0362</v>
      </c>
      <c r="I142" s="70" t="inlineStr">
        <is>
          <t>91992 IB deposit</t>
        </is>
      </c>
    </row>
    <row r="143">
      <c r="B143" s="189" t="n">
        <v>46143</v>
      </c>
      <c r="C143" s="66" t="inlineStr">
        <is>
          <t>MP Cartão</t>
        </is>
      </c>
      <c r="D143" s="66" t="inlineStr">
        <is>
          <t>IA/Tecnologia</t>
        </is>
      </c>
      <c r="E143" s="66" t="inlineStr">
        <is>
          <t>Compra internacional em CURSOR, AI POWERED IDE</t>
        </is>
      </c>
      <c r="F143" s="74" t="n">
        <v>-111.81</v>
      </c>
      <c r="G143" s="66" t="inlineStr">
        <is>
          <t>BRL</t>
        </is>
      </c>
      <c r="H143" s="68" t="n"/>
      <c r="I143" s="66" t="inlineStr">
        <is>
          <t>Fatura 2026-05</t>
        </is>
      </c>
    </row>
    <row r="144">
      <c r="B144" s="190" t="n">
        <v>46143</v>
      </c>
      <c r="C144" s="70" t="inlineStr">
        <is>
          <t>MP Cartão</t>
        </is>
      </c>
      <c r="D144" s="70" t="inlineStr">
        <is>
          <t>IA/Tecnologia</t>
        </is>
      </c>
      <c r="E144" s="70" t="inlineStr">
        <is>
          <t>Compra internacional em OPENAI* CHATGPT CREDIT</t>
        </is>
      </c>
      <c r="F144" s="73" t="n">
        <v>-206.59</v>
      </c>
      <c r="G144" s="70" t="inlineStr">
        <is>
          <t>BRL</t>
        </is>
      </c>
      <c r="H144" s="72" t="n"/>
      <c r="I144" s="70" t="inlineStr">
        <is>
          <t>Fatura 2026-05</t>
        </is>
      </c>
    </row>
    <row r="145">
      <c r="B145" s="189" t="n">
        <v>46144</v>
      </c>
      <c r="C145" s="66" t="inlineStr">
        <is>
          <t>MP Cartão</t>
        </is>
      </c>
      <c r="D145" s="66" t="inlineStr">
        <is>
          <t>Delivery/iFood</t>
        </is>
      </c>
      <c r="E145" s="66" t="inlineStr">
        <is>
          <t>IFD*BIANCA DOS SANTOS</t>
        </is>
      </c>
      <c r="F145" s="74" t="n">
        <v>-96.98999999999999</v>
      </c>
      <c r="G145" s="66" t="inlineStr">
        <is>
          <t>BRL</t>
        </is>
      </c>
      <c r="H145" s="68" t="n"/>
      <c r="I145" s="66" t="inlineStr">
        <is>
          <t>Fatura 2026-05</t>
        </is>
      </c>
    </row>
    <row r="146">
      <c r="B146" s="190" t="n">
        <v>46145</v>
      </c>
      <c r="C146" s="70" t="inlineStr">
        <is>
          <t>MP Cartão</t>
        </is>
      </c>
      <c r="D146" s="70" t="inlineStr">
        <is>
          <t>Internet</t>
        </is>
      </c>
      <c r="E146" s="70" t="inlineStr">
        <is>
          <t>STARLINK INTERNET</t>
        </is>
      </c>
      <c r="F146" s="73" t="n">
        <v>-235.52</v>
      </c>
      <c r="G146" s="70" t="inlineStr">
        <is>
          <t>BRL</t>
        </is>
      </c>
      <c r="H146" s="72" t="n"/>
      <c r="I146" s="70" t="inlineStr">
        <is>
          <t>Fatura 2026-05</t>
        </is>
      </c>
    </row>
    <row r="147">
      <c r="B147" s="189" t="n">
        <v>46147</v>
      </c>
      <c r="C147" s="66" t="inlineStr">
        <is>
          <t>MP Cartão</t>
        </is>
      </c>
      <c r="D147" s="66" t="inlineStr">
        <is>
          <t>Transporte</t>
        </is>
      </c>
      <c r="E147" s="66" t="inlineStr">
        <is>
          <t>UBER * PENDING</t>
        </is>
      </c>
      <c r="F147" s="74" t="n">
        <v>-29.97</v>
      </c>
      <c r="G147" s="66" t="inlineStr">
        <is>
          <t>BRL</t>
        </is>
      </c>
      <c r="H147" s="68" t="n"/>
      <c r="I147" s="66" t="inlineStr">
        <is>
          <t>Fatura 2026-06</t>
        </is>
      </c>
    </row>
    <row r="148">
      <c r="B148" s="190" t="n">
        <v>46147</v>
      </c>
      <c r="C148" s="70" t="inlineStr">
        <is>
          <t>MP Cartão</t>
        </is>
      </c>
      <c r="D148" s="70" t="inlineStr">
        <is>
          <t>Transporte</t>
        </is>
      </c>
      <c r="E148" s="70" t="inlineStr">
        <is>
          <t>UBER * PENDING</t>
        </is>
      </c>
      <c r="F148" s="73" t="n">
        <v>-25.93</v>
      </c>
      <c r="G148" s="70" t="inlineStr">
        <is>
          <t>BRL</t>
        </is>
      </c>
      <c r="H148" s="72" t="n"/>
      <c r="I148" s="70" t="inlineStr">
        <is>
          <t>Fatura 2026-06</t>
        </is>
      </c>
    </row>
    <row r="149">
      <c r="B149" s="189" t="n">
        <v>46147</v>
      </c>
      <c r="C149" s="66" t="inlineStr">
        <is>
          <t>MP Cartão</t>
        </is>
      </c>
      <c r="D149" s="66" t="inlineStr">
        <is>
          <t>Loteria</t>
        </is>
      </c>
      <c r="E149" s="66" t="inlineStr">
        <is>
          <t>MP*LOTERIASONLINEJOSJ</t>
        </is>
      </c>
      <c r="F149" s="74" t="n">
        <v>-248</v>
      </c>
      <c r="G149" s="66" t="inlineStr">
        <is>
          <t>BRL</t>
        </is>
      </c>
      <c r="H149" s="68" t="n"/>
      <c r="I149" s="66" t="inlineStr">
        <is>
          <t>Fatura 2026-06</t>
        </is>
      </c>
    </row>
    <row r="150">
      <c r="B150" s="190" t="n">
        <v>46148</v>
      </c>
      <c r="C150" s="70" t="inlineStr">
        <is>
          <t>MP Cartão</t>
        </is>
      </c>
      <c r="D150" s="70" t="inlineStr">
        <is>
          <t>IA/Tecnologia</t>
        </is>
      </c>
      <c r="E150" s="70" t="inlineStr">
        <is>
          <t>Compra internacional em OPENAI *CHATGPT SUBSCR</t>
        </is>
      </c>
      <c r="F150" s="73" t="n">
        <v>-101.85</v>
      </c>
      <c r="G150" s="70" t="inlineStr">
        <is>
          <t>BRL</t>
        </is>
      </c>
      <c r="H150" s="72" t="n"/>
      <c r="I150" s="70" t="inlineStr">
        <is>
          <t>Fatura 2026-06</t>
        </is>
      </c>
    </row>
    <row r="151">
      <c r="B151" s="189" t="n">
        <v>46149</v>
      </c>
      <c r="C151" s="66" t="inlineStr">
        <is>
          <t>BB Brasil</t>
        </is>
      </c>
      <c r="D151" s="66" t="inlineStr">
        <is>
          <t>Outbound</t>
        </is>
      </c>
      <c r="E151" s="66" t="inlineStr">
        <is>
          <t>USA - Own Account</t>
        </is>
      </c>
      <c r="F151" s="74" t="n">
        <v>-15132.89</v>
      </c>
      <c r="G151" s="66" t="inlineStr">
        <is>
          <t>USD</t>
        </is>
      </c>
      <c r="H151" s="68" t="n">
        <v>5.0443</v>
      </c>
      <c r="I151" s="66" t="inlineStr">
        <is>
          <t>67995 Self-transfer</t>
        </is>
      </c>
    </row>
    <row r="152">
      <c r="B152" s="190" t="n">
        <v>46149</v>
      </c>
      <c r="C152" s="70" t="inlineStr">
        <is>
          <t>Banco Inter</t>
        </is>
      </c>
      <c r="D152" s="70" t="inlineStr">
        <is>
          <t>Outbound</t>
        </is>
      </c>
      <c r="E152" s="70" t="inlineStr">
        <is>
          <t>USA - Own Account</t>
        </is>
      </c>
      <c r="F152" s="73" t="n">
        <v>-24939.84</v>
      </c>
      <c r="G152" s="70" t="inlineStr">
        <is>
          <t>USD</t>
        </is>
      </c>
      <c r="H152" s="72" t="n">
        <v>4.988</v>
      </c>
      <c r="I152" s="70" t="inlineStr">
        <is>
          <t>67995 Self-transfer via Inter</t>
        </is>
      </c>
    </row>
    <row r="153">
      <c r="B153" s="189" t="n">
        <v>46150</v>
      </c>
      <c r="C153" s="66" t="inlineStr">
        <is>
          <t>MP Cartão</t>
        </is>
      </c>
      <c r="D153" s="66" t="inlineStr">
        <is>
          <t>IA/Tecnologia</t>
        </is>
      </c>
      <c r="E153" s="66" t="inlineStr">
        <is>
          <t>Compra internacional em GITHUB, INC.</t>
        </is>
      </c>
      <c r="F153" s="74" t="n">
        <v>-50.93</v>
      </c>
      <c r="G153" s="66" t="inlineStr">
        <is>
          <t>BRL</t>
        </is>
      </c>
      <c r="H153" s="68" t="n"/>
      <c r="I153" s="66" t="inlineStr">
        <is>
          <t>Fatura 2026-06</t>
        </is>
      </c>
    </row>
    <row r="154">
      <c r="B154" s="190" t="n">
        <v>46150</v>
      </c>
      <c r="C154" s="70" t="inlineStr">
        <is>
          <t>Banco Inter</t>
        </is>
      </c>
      <c r="D154" s="70" t="inlineStr">
        <is>
          <t>PIX In</t>
        </is>
      </c>
      <c r="E154" s="70" t="inlineStr">
        <is>
          <t>Eduardo F Giovannini</t>
        </is>
      </c>
      <c r="F154" s="71" t="n">
        <v>40000</v>
      </c>
      <c r="G154" s="70" t="inlineStr">
        <is>
          <t>BRL</t>
        </is>
      </c>
      <c r="H154" s="72" t="n"/>
      <c r="I154" s="70" t="inlineStr"/>
    </row>
    <row r="155">
      <c r="B155" s="189" t="n">
        <v>46151</v>
      </c>
      <c r="C155" s="66" t="inlineStr">
        <is>
          <t>MP Cartão</t>
        </is>
      </c>
      <c r="D155" s="66" t="inlineStr">
        <is>
          <t>Loteria</t>
        </is>
      </c>
      <c r="E155" s="66" t="inlineStr">
        <is>
          <t>MP*LOTERIASONLINEDB7Z</t>
        </is>
      </c>
      <c r="F155" s="74" t="n">
        <v>-151</v>
      </c>
      <c r="G155" s="66" t="inlineStr">
        <is>
          <t>BRL</t>
        </is>
      </c>
      <c r="H155" s="68" t="n"/>
      <c r="I155" s="66" t="inlineStr">
        <is>
          <t>Fatura 2026-06</t>
        </is>
      </c>
    </row>
    <row r="156">
      <c r="B156" s="190" t="n">
        <v>46152</v>
      </c>
      <c r="C156" s="70" t="inlineStr">
        <is>
          <t>MP Cartão</t>
        </is>
      </c>
      <c r="D156" s="70" t="inlineStr">
        <is>
          <t>Assinatura</t>
        </is>
      </c>
      <c r="E156" s="70" t="inlineStr">
        <is>
          <t>APPLE.COM/BILL</t>
        </is>
      </c>
      <c r="F156" s="73" t="n">
        <v>-19.9</v>
      </c>
      <c r="G156" s="70" t="inlineStr">
        <is>
          <t>BRL</t>
        </is>
      </c>
      <c r="H156" s="72" t="n"/>
      <c r="I156" s="70" t="inlineStr">
        <is>
          <t>Fatura 2026-06</t>
        </is>
      </c>
    </row>
    <row r="157">
      <c r="B157" s="189" t="n">
        <v>46153</v>
      </c>
      <c r="C157" s="66" t="inlineStr">
        <is>
          <t>MP Cartão</t>
        </is>
      </c>
      <c r="D157" s="66" t="inlineStr">
        <is>
          <t>Delivery/iFood</t>
        </is>
      </c>
      <c r="E157" s="66" t="inlineStr">
        <is>
          <t>IFD*iFood</t>
        </is>
      </c>
      <c r="F157" s="74" t="n">
        <v>-7.95</v>
      </c>
      <c r="G157" s="66" t="inlineStr">
        <is>
          <t>BRL</t>
        </is>
      </c>
      <c r="H157" s="68" t="n"/>
      <c r="I157" s="66" t="inlineStr">
        <is>
          <t>Fatura 2026-06</t>
        </is>
      </c>
    </row>
    <row r="158">
      <c r="B158" s="190" t="n">
        <v>46153</v>
      </c>
      <c r="C158" s="70" t="inlineStr">
        <is>
          <t>Banco Inter</t>
        </is>
      </c>
      <c r="D158" s="70" t="inlineStr">
        <is>
          <t>PIX In</t>
        </is>
      </c>
      <c r="E158" s="70" t="inlineStr">
        <is>
          <t>Eduardo F Giovannini</t>
        </is>
      </c>
      <c r="F158" s="71" t="n">
        <v>40000</v>
      </c>
      <c r="G158" s="70" t="inlineStr">
        <is>
          <t>BRL</t>
        </is>
      </c>
      <c r="H158" s="72" t="n"/>
      <c r="I158" s="70" t="inlineStr"/>
    </row>
    <row r="159">
      <c r="B159" s="189" t="n">
        <v>46153</v>
      </c>
      <c r="C159" s="66" t="inlineStr">
        <is>
          <t>Banco Inter</t>
        </is>
      </c>
      <c r="D159" s="66" t="inlineStr">
        <is>
          <t>Outbound</t>
        </is>
      </c>
      <c r="E159" s="66" t="inlineStr">
        <is>
          <t>USA - Own Account</t>
        </is>
      </c>
      <c r="F159" s="74" t="n">
        <v>-74340.39999999999</v>
      </c>
      <c r="G159" s="66" t="inlineStr">
        <is>
          <t>USD</t>
        </is>
      </c>
      <c r="H159" s="68" t="n">
        <v>4.956</v>
      </c>
      <c r="I159" s="66" t="inlineStr">
        <is>
          <t>67995 Self-transfer via Inter</t>
        </is>
      </c>
    </row>
    <row r="160">
      <c r="B160" s="190" t="n">
        <v>46157</v>
      </c>
      <c r="C160" s="70" t="inlineStr">
        <is>
          <t>Banco Inter</t>
        </is>
      </c>
      <c r="D160" s="70" t="inlineStr">
        <is>
          <t>PIX Out</t>
        </is>
      </c>
      <c r="E160" s="70" t="inlineStr">
        <is>
          <t>Wise Brasil Corretora De Cambio Ltda</t>
        </is>
      </c>
      <c r="F160" s="73" t="n">
        <v>-1299.97</v>
      </c>
      <c r="G160" s="70" t="inlineStr">
        <is>
          <t>BRL</t>
        </is>
      </c>
      <c r="H160" s="72" t="n"/>
      <c r="I160" s="70" t="inlineStr"/>
    </row>
    <row r="161">
      <c r="B161" s="189" t="n">
        <v>46157</v>
      </c>
      <c r="C161" s="66" t="inlineStr">
        <is>
          <t>BB Brasil</t>
        </is>
      </c>
      <c r="D161" s="66" t="inlineStr">
        <is>
          <t>Outbound</t>
        </is>
      </c>
      <c r="E161" s="66" t="inlineStr">
        <is>
          <t>USA - Own Account</t>
        </is>
      </c>
      <c r="F161" s="74" t="n">
        <v>-2577.87</v>
      </c>
      <c r="G161" s="66" t="inlineStr">
        <is>
          <t>USD</t>
        </is>
      </c>
      <c r="H161" s="68" t="n">
        <v>5.1558</v>
      </c>
      <c r="I161" s="66" t="inlineStr">
        <is>
          <t>67995 Self-transfer</t>
        </is>
      </c>
    </row>
    <row r="162">
      <c r="B162" s="190" t="n">
        <v>46157</v>
      </c>
      <c r="C162" s="70" t="inlineStr">
        <is>
          <t>Wise Brasil</t>
        </is>
      </c>
      <c r="D162" s="70" t="inlineStr">
        <is>
          <t>Outbound</t>
        </is>
      </c>
      <c r="E162" s="70" t="inlineStr">
        <is>
          <t>UK - Eduardo Giovannini</t>
        </is>
      </c>
      <c r="F162" s="73" t="n">
        <v>-1246.27</v>
      </c>
      <c r="G162" s="70" t="inlineStr">
        <is>
          <t>USD</t>
        </is>
      </c>
      <c r="H162" s="72" t="n">
        <v>4.9851</v>
      </c>
      <c r="I162" s="70" t="inlineStr">
        <is>
          <t>67995 Wise UK</t>
        </is>
      </c>
    </row>
    <row r="163">
      <c r="B163" s="189" t="n">
        <v>46158</v>
      </c>
      <c r="C163" s="66" t="inlineStr">
        <is>
          <t>MP Cartão</t>
        </is>
      </c>
      <c r="D163" s="66" t="inlineStr">
        <is>
          <t>IA/Tecnologia</t>
        </is>
      </c>
      <c r="E163" s="66" t="inlineStr">
        <is>
          <t>Compra internacional em WWW.PERPLEXITY.AI</t>
        </is>
      </c>
      <c r="F163" s="74" t="n">
        <v>-78.72</v>
      </c>
      <c r="G163" s="66" t="inlineStr">
        <is>
          <t>BRL</t>
        </is>
      </c>
      <c r="H163" s="68" t="n"/>
      <c r="I163" s="66" t="inlineStr">
        <is>
          <t>Fatura 2026-06</t>
        </is>
      </c>
    </row>
    <row r="164">
      <c r="B164" s="190" t="n">
        <v>46158</v>
      </c>
      <c r="C164" s="70" t="inlineStr">
        <is>
          <t>MP Cartão</t>
        </is>
      </c>
      <c r="D164" s="70" t="inlineStr">
        <is>
          <t>Delivery/iFood</t>
        </is>
      </c>
      <c r="E164" s="70" t="inlineStr">
        <is>
          <t>IFD*34.531.468 EDWIN LEIB</t>
        </is>
      </c>
      <c r="F164" s="73" t="n">
        <v>-73.03</v>
      </c>
      <c r="G164" s="70" t="inlineStr">
        <is>
          <t>BRL</t>
        </is>
      </c>
      <c r="H164" s="72" t="n"/>
      <c r="I164" s="70" t="inlineStr">
        <is>
          <t>Fatura 2026-06</t>
        </is>
      </c>
    </row>
    <row r="165">
      <c r="B165" s="189" t="n">
        <v>46159</v>
      </c>
      <c r="C165" s="66" t="inlineStr">
        <is>
          <t>MP Cartão</t>
        </is>
      </c>
      <c r="D165" s="66" t="inlineStr">
        <is>
          <t>IA/Tecnologia</t>
        </is>
      </c>
      <c r="E165" s="66" t="inlineStr">
        <is>
          <t>Compra internacional em OPENAI *CHATGPT SUBSCR</t>
        </is>
      </c>
      <c r="F165" s="74" t="n">
        <v>-104.95</v>
      </c>
      <c r="G165" s="66" t="inlineStr">
        <is>
          <t>BRL</t>
        </is>
      </c>
      <c r="H165" s="68" t="n"/>
      <c r="I165" s="66" t="inlineStr">
        <is>
          <t>Fatura 2026-06</t>
        </is>
      </c>
    </row>
    <row r="166">
      <c r="B166" s="190" t="n">
        <v>46160</v>
      </c>
      <c r="C166" s="70" t="inlineStr">
        <is>
          <t>MP Cartão</t>
        </is>
      </c>
      <c r="D166" s="70" t="inlineStr">
        <is>
          <t>IA/Tecnologia</t>
        </is>
      </c>
      <c r="E166" s="70" t="inlineStr">
        <is>
          <t>Compra internacional em CLOUDFLARE</t>
        </is>
      </c>
      <c r="F166" s="73" t="n">
        <v>-83.44</v>
      </c>
      <c r="G166" s="70" t="inlineStr">
        <is>
          <t>BRL</t>
        </is>
      </c>
      <c r="H166" s="72" t="n"/>
      <c r="I166" s="70" t="inlineStr">
        <is>
          <t>Fatura 2026-06</t>
        </is>
      </c>
    </row>
    <row r="167">
      <c r="B167" s="189" t="n">
        <v>46160</v>
      </c>
      <c r="C167" s="66" t="inlineStr">
        <is>
          <t>MP Cartão</t>
        </is>
      </c>
      <c r="D167" s="66" t="inlineStr">
        <is>
          <t>Loteria</t>
        </is>
      </c>
      <c r="E167" s="66" t="inlineStr">
        <is>
          <t>MP*LOTERIASONLINE281Q</t>
        </is>
      </c>
      <c r="F167" s="74" t="n">
        <v>-146</v>
      </c>
      <c r="G167" s="66" t="inlineStr">
        <is>
          <t>BRL</t>
        </is>
      </c>
      <c r="H167" s="68" t="n"/>
      <c r="I167" s="66" t="inlineStr">
        <is>
          <t>Fatura 2026-06</t>
        </is>
      </c>
    </row>
    <row r="168">
      <c r="B168" s="190" t="n">
        <v>46160</v>
      </c>
      <c r="C168" s="70" t="inlineStr">
        <is>
          <t>Banco Inter</t>
        </is>
      </c>
      <c r="D168" s="70" t="inlineStr">
        <is>
          <t>PIX In</t>
        </is>
      </c>
      <c r="E168" s="70" t="inlineStr">
        <is>
          <t>Eduardo F Giovannini</t>
        </is>
      </c>
      <c r="F168" s="71" t="n">
        <v>35000</v>
      </c>
      <c r="G168" s="70" t="inlineStr">
        <is>
          <t>BRL</t>
        </is>
      </c>
      <c r="H168" s="72" t="n"/>
      <c r="I168" s="70" t="inlineStr"/>
    </row>
    <row r="169">
      <c r="B169" s="189" t="n">
        <v>46160</v>
      </c>
      <c r="C169" s="66" t="inlineStr">
        <is>
          <t>Banco Inter</t>
        </is>
      </c>
      <c r="D169" s="66" t="inlineStr">
        <is>
          <t>PIX Out</t>
        </is>
      </c>
      <c r="E169" s="66" t="inlineStr">
        <is>
          <t>Eduardo Giovannini</t>
        </is>
      </c>
      <c r="F169" s="74" t="n">
        <v>-20000</v>
      </c>
      <c r="G169" s="66" t="inlineStr">
        <is>
          <t>BRL</t>
        </is>
      </c>
      <c r="H169" s="68" t="n"/>
      <c r="I169" s="66" t="inlineStr"/>
    </row>
    <row r="170">
      <c r="B170" s="190" t="n">
        <v>46160</v>
      </c>
      <c r="C170" s="70" t="inlineStr">
        <is>
          <t>BB Brasil</t>
        </is>
      </c>
      <c r="D170" s="70" t="inlineStr">
        <is>
          <t>Outbound</t>
        </is>
      </c>
      <c r="E170" s="70" t="inlineStr">
        <is>
          <t>USA - Own Account</t>
        </is>
      </c>
      <c r="F170" s="73" t="n">
        <v>-1019.15</v>
      </c>
      <c r="G170" s="70" t="inlineStr">
        <is>
          <t>USD</t>
        </is>
      </c>
      <c r="H170" s="72" t="n">
        <v>5.0958</v>
      </c>
      <c r="I170" s="70" t="inlineStr">
        <is>
          <t>67995 Self-transfer</t>
        </is>
      </c>
    </row>
    <row r="171">
      <c r="B171" s="189" t="n">
        <v>46160</v>
      </c>
      <c r="C171" s="66" t="inlineStr">
        <is>
          <t>Wise Brasil</t>
        </is>
      </c>
      <c r="D171" s="66" t="inlineStr">
        <is>
          <t>IB Deposit</t>
        </is>
      </c>
      <c r="E171" s="66" t="inlineStr">
        <is>
          <t>Interactive Brokers</t>
        </is>
      </c>
      <c r="F171" s="67" t="n">
        <v>19195.81</v>
      </c>
      <c r="G171" s="66" t="inlineStr">
        <is>
          <t>USD</t>
        </is>
      </c>
      <c r="H171" s="68" t="n">
        <v>5.0056</v>
      </c>
      <c r="I171" s="66" t="inlineStr">
        <is>
          <t>91992 IB via Wise</t>
        </is>
      </c>
    </row>
    <row r="172">
      <c r="B172" s="190" t="n">
        <v>46161</v>
      </c>
      <c r="C172" s="70" t="inlineStr">
        <is>
          <t>MP Cartão</t>
        </is>
      </c>
      <c r="D172" s="70" t="inlineStr">
        <is>
          <t>Delivery/iFood</t>
        </is>
      </c>
      <c r="E172" s="70" t="inlineStr">
        <is>
          <t>IFD*PIPA SUSHI E TEMAK</t>
        </is>
      </c>
      <c r="F172" s="73" t="n">
        <v>-67.31</v>
      </c>
      <c r="G172" s="70" t="inlineStr">
        <is>
          <t>BRL</t>
        </is>
      </c>
      <c r="H172" s="72" t="n"/>
      <c r="I172" s="70" t="inlineStr">
        <is>
          <t>Fatura 2026-06</t>
        </is>
      </c>
    </row>
    <row r="173">
      <c r="B173" s="189" t="n">
        <v>46161</v>
      </c>
      <c r="C173" s="66" t="inlineStr">
        <is>
          <t>MP Cartão</t>
        </is>
      </c>
      <c r="D173" s="66" t="inlineStr">
        <is>
          <t>Assinatura</t>
        </is>
      </c>
      <c r="E173" s="66" t="inlineStr">
        <is>
          <t>DL*GOOGLE YouTub</t>
        </is>
      </c>
      <c r="F173" s="74" t="n">
        <v>-269</v>
      </c>
      <c r="G173" s="66" t="inlineStr">
        <is>
          <t>BRL</t>
        </is>
      </c>
      <c r="H173" s="68" t="n"/>
      <c r="I173" s="66" t="inlineStr">
        <is>
          <t>Fatura 2026-06</t>
        </is>
      </c>
    </row>
    <row r="174">
      <c r="B174" s="190" t="n">
        <v>46161</v>
      </c>
      <c r="C174" s="70" t="inlineStr">
        <is>
          <t>MP Cartão</t>
        </is>
      </c>
      <c r="D174" s="70" t="inlineStr">
        <is>
          <t>Loteria</t>
        </is>
      </c>
      <c r="E174" s="70" t="inlineStr">
        <is>
          <t>MP*LOTERIASONLINEAPI5</t>
        </is>
      </c>
      <c r="F174" s="73" t="n">
        <v>-120</v>
      </c>
      <c r="G174" s="70" t="inlineStr">
        <is>
          <t>BRL</t>
        </is>
      </c>
      <c r="H174" s="72" t="n"/>
      <c r="I174" s="70" t="inlineStr">
        <is>
          <t>Fatura 2026-06</t>
        </is>
      </c>
    </row>
    <row r="175">
      <c r="B175" s="189" t="n">
        <v>46161</v>
      </c>
      <c r="C175" s="66" t="inlineStr">
        <is>
          <t>Banco Topázio</t>
        </is>
      </c>
      <c r="D175" s="66" t="inlineStr">
        <is>
          <t>IB Deposit</t>
        </is>
      </c>
      <c r="E175" s="66" t="inlineStr">
        <is>
          <t>Interactive Brokers</t>
        </is>
      </c>
      <c r="F175" s="67" t="n">
        <v>5114.85</v>
      </c>
      <c r="G175" s="66" t="inlineStr">
        <is>
          <t>USD</t>
        </is>
      </c>
      <c r="H175" s="68" t="n">
        <v>5.1149</v>
      </c>
      <c r="I175" s="66" t="inlineStr">
        <is>
          <t>91992 IB deposit</t>
        </is>
      </c>
    </row>
    <row r="176">
      <c r="B176" s="190" t="n">
        <v>46162</v>
      </c>
      <c r="C176" s="70" t="inlineStr">
        <is>
          <t>MP Cartão</t>
        </is>
      </c>
      <c r="D176" s="70" t="inlineStr">
        <is>
          <t>IA/Tecnologia</t>
        </is>
      </c>
      <c r="E176" s="70" t="inlineStr">
        <is>
          <t>Compra internacional em OPENAI* CHATGPT CREDIT</t>
        </is>
      </c>
      <c r="F176" s="73" t="n">
        <v>-208.66</v>
      </c>
      <c r="G176" s="70" t="inlineStr">
        <is>
          <t>BRL</t>
        </is>
      </c>
      <c r="H176" s="72" t="n"/>
      <c r="I176" s="70" t="inlineStr">
        <is>
          <t>Fatura 2026-06</t>
        </is>
      </c>
    </row>
    <row r="177">
      <c r="B177" s="189" t="n">
        <v>46162</v>
      </c>
      <c r="C177" s="66" t="inlineStr">
        <is>
          <t>Banco Topázio</t>
        </is>
      </c>
      <c r="D177" s="66" t="inlineStr">
        <is>
          <t>IB Deposit</t>
        </is>
      </c>
      <c r="E177" s="66" t="inlineStr">
        <is>
          <t>Interactive Brokers</t>
        </is>
      </c>
      <c r="F177" s="67" t="n">
        <v>31651.83</v>
      </c>
      <c r="G177" s="66" t="inlineStr">
        <is>
          <t>USD</t>
        </is>
      </c>
      <c r="H177" s="68" t="n">
        <v>5.0949</v>
      </c>
      <c r="I177" s="66" t="inlineStr">
        <is>
          <t>91992 IB deposit</t>
        </is>
      </c>
    </row>
    <row r="178">
      <c r="B178" s="190" t="n">
        <v>46164</v>
      </c>
      <c r="C178" s="70" t="inlineStr">
        <is>
          <t>MP Cartão</t>
        </is>
      </c>
      <c r="D178" s="70" t="inlineStr">
        <is>
          <t>Loteria</t>
        </is>
      </c>
      <c r="E178" s="70" t="inlineStr">
        <is>
          <t>MP*LOTERIASONLINEPXMF</t>
        </is>
      </c>
      <c r="F178" s="73" t="n">
        <v>-210</v>
      </c>
      <c r="G178" s="70" t="inlineStr">
        <is>
          <t>BRL</t>
        </is>
      </c>
      <c r="H178" s="72" t="n"/>
      <c r="I178" s="70" t="inlineStr">
        <is>
          <t>Fatura 2026-06</t>
        </is>
      </c>
    </row>
    <row r="179">
      <c r="B179" s="189" t="n">
        <v>46164</v>
      </c>
      <c r="C179" s="66" t="inlineStr">
        <is>
          <t>Banco Inter</t>
        </is>
      </c>
      <c r="D179" s="66" t="inlineStr">
        <is>
          <t>PIX Out</t>
        </is>
      </c>
      <c r="E179" s="66" t="inlineStr">
        <is>
          <t>Lucas Rique Chaves Bezerra</t>
        </is>
      </c>
      <c r="F179" s="74" t="n">
        <v>-1500</v>
      </c>
      <c r="G179" s="66" t="inlineStr">
        <is>
          <t>BRL</t>
        </is>
      </c>
      <c r="H179" s="68" t="n"/>
      <c r="I179" s="66" t="inlineStr"/>
    </row>
    <row r="180">
      <c r="B180" s="190" t="n">
        <v>46164</v>
      </c>
      <c r="C180" s="70" t="inlineStr">
        <is>
          <t>Banco Inter</t>
        </is>
      </c>
      <c r="D180" s="70" t="inlineStr">
        <is>
          <t>PIX Out</t>
        </is>
      </c>
      <c r="E180" s="70" t="inlineStr">
        <is>
          <t>Lucas Rique Chaves Bezerra</t>
        </is>
      </c>
      <c r="F180" s="73" t="n">
        <v>-500</v>
      </c>
      <c r="G180" s="70" t="inlineStr">
        <is>
          <t>BRL</t>
        </is>
      </c>
      <c r="H180" s="72" t="n"/>
      <c r="I180" s="70" t="inlineStr"/>
    </row>
    <row r="181">
      <c r="B181" s="189" t="n">
        <v>46164</v>
      </c>
      <c r="C181" s="66" t="inlineStr">
        <is>
          <t>Banco Inter</t>
        </is>
      </c>
      <c r="D181" s="66" t="inlineStr">
        <is>
          <t>PIX Out</t>
        </is>
      </c>
      <c r="E181" s="66" t="inlineStr">
        <is>
          <t>Sbct Tech Solutions Llc</t>
        </is>
      </c>
      <c r="F181" s="74" t="n">
        <v>-45000</v>
      </c>
      <c r="G181" s="66" t="inlineStr">
        <is>
          <t>BRL</t>
        </is>
      </c>
      <c r="H181" s="68" t="n"/>
      <c r="I181" s="66" t="inlineStr"/>
    </row>
    <row r="182">
      <c r="B182" s="190" t="n">
        <v>46164</v>
      </c>
      <c r="C182" s="70" t="inlineStr">
        <is>
          <t>Banco Topázio</t>
        </is>
      </c>
      <c r="D182" s="70" t="inlineStr">
        <is>
          <t>Fund Deposit</t>
        </is>
      </c>
      <c r="E182" s="70" t="inlineStr">
        <is>
          <t>Fundos investimento BRL</t>
        </is>
      </c>
      <c r="F182" s="71" t="n">
        <v>45000</v>
      </c>
      <c r="G182" s="70" t="inlineStr">
        <is>
          <t>BRL</t>
        </is>
      </c>
      <c r="H182" s="72" t="n">
        <v>0</v>
      </c>
      <c r="I182" s="70" t="inlineStr">
        <is>
          <t>67043 Fund capital</t>
        </is>
      </c>
    </row>
    <row r="183">
      <c r="B183" s="189" t="n">
        <v>46165</v>
      </c>
      <c r="C183" s="66" t="inlineStr">
        <is>
          <t>MP Cartão</t>
        </is>
      </c>
      <c r="D183" s="66" t="inlineStr">
        <is>
          <t>IA/Tecnologia</t>
        </is>
      </c>
      <c r="E183" s="66" t="inlineStr">
        <is>
          <t>Compra internacional em OPENAI* CHATGPT CREDIT</t>
        </is>
      </c>
      <c r="F183" s="74" t="n">
        <v>-207.42</v>
      </c>
      <c r="G183" s="66" t="inlineStr">
        <is>
          <t>BRL</t>
        </is>
      </c>
      <c r="H183" s="68" t="n"/>
      <c r="I183" s="66" t="inlineStr">
        <is>
          <t>Fatura 2026-06</t>
        </is>
      </c>
    </row>
    <row r="184">
      <c r="B184" s="190" t="n">
        <v>46166</v>
      </c>
      <c r="C184" s="70" t="inlineStr">
        <is>
          <t>MP Cartão</t>
        </is>
      </c>
      <c r="D184" s="70" t="inlineStr">
        <is>
          <t>Assinatura</t>
        </is>
      </c>
      <c r="E184" s="70" t="inlineStr">
        <is>
          <t>APPLE.COM/BILL</t>
        </is>
      </c>
      <c r="F184" s="73" t="n">
        <v>-31.9</v>
      </c>
      <c r="G184" s="70" t="inlineStr">
        <is>
          <t>BRL</t>
        </is>
      </c>
      <c r="H184" s="72" t="n"/>
      <c r="I184" s="70" t="inlineStr">
        <is>
          <t>Fatura 2026-06</t>
        </is>
      </c>
    </row>
    <row r="185">
      <c r="B185" s="189" t="n">
        <v>46166</v>
      </c>
      <c r="C185" s="66" t="inlineStr">
        <is>
          <t>Banco Inter</t>
        </is>
      </c>
      <c r="D185" s="66" t="inlineStr">
        <is>
          <t>PIX Out</t>
        </is>
      </c>
      <c r="E185" s="66" t="inlineStr">
        <is>
          <t>Moacir Jose De Morais Filho</t>
        </is>
      </c>
      <c r="F185" s="74" t="n">
        <v>-700</v>
      </c>
      <c r="G185" s="66" t="inlineStr">
        <is>
          <t>BRL</t>
        </is>
      </c>
      <c r="H185" s="68" t="n"/>
      <c r="I185" s="66" t="inlineStr"/>
    </row>
    <row r="186">
      <c r="B186" s="190" t="n">
        <v>46167</v>
      </c>
      <c r="C186" s="70" t="inlineStr">
        <is>
          <t>Banco Inter</t>
        </is>
      </c>
      <c r="D186" s="70" t="inlineStr">
        <is>
          <t>PIX Out</t>
        </is>
      </c>
      <c r="E186" s="70" t="inlineStr">
        <is>
          <t>Eduardo Silva Dos Santos</t>
        </is>
      </c>
      <c r="F186" s="73" t="n">
        <v>-470</v>
      </c>
      <c r="G186" s="70" t="inlineStr">
        <is>
          <t>BRL</t>
        </is>
      </c>
      <c r="H186" s="72" t="n"/>
      <c r="I186" s="70" t="inlineStr"/>
    </row>
    <row r="187">
      <c r="B187" s="189" t="n">
        <v>46168</v>
      </c>
      <c r="C187" s="66" t="inlineStr">
        <is>
          <t>BB Brasil</t>
        </is>
      </c>
      <c r="D187" s="66" t="inlineStr">
        <is>
          <t>Outbound</t>
        </is>
      </c>
      <c r="E187" s="66" t="inlineStr">
        <is>
          <t>USA - Own Account</t>
        </is>
      </c>
      <c r="F187" s="74" t="n">
        <v>-51027.68</v>
      </c>
      <c r="G187" s="66" t="inlineStr">
        <is>
          <t>USD</t>
        </is>
      </c>
      <c r="H187" s="68" t="n">
        <v>5.1028</v>
      </c>
      <c r="I187" s="66" t="inlineStr">
        <is>
          <t>67995 Self-transfer</t>
        </is>
      </c>
    </row>
    <row r="188">
      <c r="B188" s="190" t="n">
        <v>46170</v>
      </c>
      <c r="C188" s="70" t="inlineStr">
        <is>
          <t>MP Cartão</t>
        </is>
      </c>
      <c r="D188" s="70" t="inlineStr">
        <is>
          <t>IA/Tecnologia</t>
        </is>
      </c>
      <c r="E188" s="70" t="inlineStr">
        <is>
          <t>Compra internacional em ANTHROPIC</t>
        </is>
      </c>
      <c r="F188" s="73" t="n">
        <v>-103.5</v>
      </c>
      <c r="G188" s="70" t="inlineStr">
        <is>
          <t>BRL</t>
        </is>
      </c>
      <c r="H188" s="72" t="n"/>
      <c r="I188" s="70" t="inlineStr">
        <is>
          <t>Fatura 2026-06</t>
        </is>
      </c>
    </row>
    <row r="189">
      <c r="B189" s="189" t="n">
        <v>46170</v>
      </c>
      <c r="C189" s="66" t="inlineStr">
        <is>
          <t>Banco Inter</t>
        </is>
      </c>
      <c r="D189" s="66" t="inlineStr">
        <is>
          <t>PIX Out</t>
        </is>
      </c>
      <c r="E189" s="66" t="inlineStr">
        <is>
          <t>Eduardo Silva Dos Santos</t>
        </is>
      </c>
      <c r="F189" s="74" t="n">
        <v>-450</v>
      </c>
      <c r="G189" s="66" t="inlineStr">
        <is>
          <t>BRL</t>
        </is>
      </c>
      <c r="H189" s="68" t="n"/>
      <c r="I189" s="66" t="inlineStr"/>
    </row>
    <row r="190">
      <c r="B190" s="190" t="n">
        <v>46170</v>
      </c>
      <c r="C190" s="70" t="inlineStr">
        <is>
          <t>BB Brasil</t>
        </is>
      </c>
      <c r="D190" s="70" t="inlineStr">
        <is>
          <t>Outbound</t>
        </is>
      </c>
      <c r="E190" s="70" t="inlineStr">
        <is>
          <t>USA - Own Account</t>
        </is>
      </c>
      <c r="F190" s="73" t="n">
        <v>-25650.76</v>
      </c>
      <c r="G190" s="70" t="inlineStr">
        <is>
          <t>USD</t>
        </is>
      </c>
      <c r="H190" s="72" t="n">
        <v>5.1302</v>
      </c>
      <c r="I190" s="70" t="inlineStr">
        <is>
          <t>67995 Self-transfer</t>
        </is>
      </c>
    </row>
    <row r="191">
      <c r="B191" s="189" t="n">
        <v>46170</v>
      </c>
      <c r="C191" s="66" t="inlineStr">
        <is>
          <t>Banco Topázio</t>
        </is>
      </c>
      <c r="D191" s="66" t="inlineStr">
        <is>
          <t>IB Deposit</t>
        </is>
      </c>
      <c r="E191" s="66" t="inlineStr">
        <is>
          <t>Interactive Brokers</t>
        </is>
      </c>
      <c r="F191" s="67" t="n">
        <v>101772.38</v>
      </c>
      <c r="G191" s="66" t="inlineStr">
        <is>
          <t>USD</t>
        </is>
      </c>
      <c r="H191" s="68" t="n">
        <v>5.0886</v>
      </c>
      <c r="I191" s="66" t="inlineStr">
        <is>
          <t>91992 IB deposit</t>
        </is>
      </c>
    </row>
    <row r="192">
      <c r="B192" s="190" t="n">
        <v>46171</v>
      </c>
      <c r="C192" s="70" t="inlineStr">
        <is>
          <t>MP Cartão</t>
        </is>
      </c>
      <c r="D192" s="70" t="inlineStr">
        <is>
          <t>Transporte</t>
        </is>
      </c>
      <c r="E192" s="70" t="inlineStr">
        <is>
          <t>UBER * PENDING</t>
        </is>
      </c>
      <c r="F192" s="73" t="n">
        <v>-13.97</v>
      </c>
      <c r="G192" s="70" t="inlineStr">
        <is>
          <t>BRL</t>
        </is>
      </c>
      <c r="H192" s="72" t="n"/>
      <c r="I192" s="70" t="inlineStr">
        <is>
          <t>Fatura 2026-06</t>
        </is>
      </c>
    </row>
    <row r="193">
      <c r="B193" s="189" t="n">
        <v>46172</v>
      </c>
      <c r="C193" s="66" t="inlineStr">
        <is>
          <t>MP Cartão</t>
        </is>
      </c>
      <c r="D193" s="66" t="inlineStr">
        <is>
          <t>Assinatura</t>
        </is>
      </c>
      <c r="E193" s="66" t="inlineStr">
        <is>
          <t>APPLE.COM/BILL</t>
        </is>
      </c>
      <c r="F193" s="74" t="n">
        <v>-99.90000000000001</v>
      </c>
      <c r="G193" s="66" t="inlineStr">
        <is>
          <t>BRL</t>
        </is>
      </c>
      <c r="H193" s="68" t="n"/>
      <c r="I193" s="66" t="inlineStr">
        <is>
          <t>Fatura 2026-06</t>
        </is>
      </c>
    </row>
    <row r="194">
      <c r="B194" s="190" t="n">
        <v>46172</v>
      </c>
      <c r="C194" s="70" t="inlineStr">
        <is>
          <t>MP Cartão</t>
        </is>
      </c>
      <c r="D194" s="70" t="inlineStr">
        <is>
          <t>IA/Tecnologia</t>
        </is>
      </c>
      <c r="E194" s="70" t="inlineStr">
        <is>
          <t>Compra internacional em CLAUDE.AI SUBSCRIPTION</t>
        </is>
      </c>
      <c r="F194" s="73" t="n">
        <v>-113.85</v>
      </c>
      <c r="G194" s="70" t="inlineStr">
        <is>
          <t>BRL</t>
        </is>
      </c>
      <c r="H194" s="72" t="n"/>
      <c r="I194" s="70" t="inlineStr">
        <is>
          <t>Fatura 2026-06</t>
        </is>
      </c>
    </row>
    <row r="195">
      <c r="B195" s="189" t="n">
        <v>46172</v>
      </c>
      <c r="C195" s="66" t="inlineStr">
        <is>
          <t>MP Cartão</t>
        </is>
      </c>
      <c r="D195" s="66" t="inlineStr">
        <is>
          <t>Delivery/iFood</t>
        </is>
      </c>
      <c r="E195" s="66" t="inlineStr">
        <is>
          <t>IFD*PIPA SUSHI E TEMAK</t>
        </is>
      </c>
      <c r="F195" s="74" t="n">
        <v>-90.29000000000001</v>
      </c>
      <c r="G195" s="66" t="inlineStr">
        <is>
          <t>BRL</t>
        </is>
      </c>
      <c r="H195" s="68" t="n"/>
      <c r="I195" s="66" t="inlineStr">
        <is>
          <t>Fatura 2026-06</t>
        </is>
      </c>
    </row>
    <row r="196">
      <c r="B196" s="190" t="n">
        <v>46174</v>
      </c>
      <c r="C196" s="70" t="inlineStr">
        <is>
          <t>MP Cartão</t>
        </is>
      </c>
      <c r="D196" s="70" t="inlineStr">
        <is>
          <t>IA/Tecnologia</t>
        </is>
      </c>
      <c r="E196" s="70" t="inlineStr">
        <is>
          <t>Compra internacional em WWW.PERPLEXITY.AI</t>
        </is>
      </c>
      <c r="F196" s="73" t="n">
        <v>-78.56</v>
      </c>
      <c r="G196" s="70" t="inlineStr">
        <is>
          <t>BRL</t>
        </is>
      </c>
      <c r="H196" s="72" t="n"/>
      <c r="I196" s="70" t="inlineStr">
        <is>
          <t>Fatura 2026-06</t>
        </is>
      </c>
    </row>
    <row r="197">
      <c r="B197" s="189" t="n">
        <v>46174</v>
      </c>
      <c r="C197" s="66" t="inlineStr">
        <is>
          <t>MP Cartão</t>
        </is>
      </c>
      <c r="D197" s="66" t="inlineStr">
        <is>
          <t>IA/Tecnologia</t>
        </is>
      </c>
      <c r="E197" s="66" t="inlineStr">
        <is>
          <t>Compra internacional em CURSOR, AI POWERED IDE</t>
        </is>
      </c>
      <c r="F197" s="74" t="n">
        <v>-111.81</v>
      </c>
      <c r="G197" s="66" t="inlineStr">
        <is>
          <t>BRL</t>
        </is>
      </c>
      <c r="H197" s="68" t="n"/>
      <c r="I197" s="66" t="inlineStr">
        <is>
          <t>Fatura 2026-06</t>
        </is>
      </c>
    </row>
    <row r="198">
      <c r="B198" s="190" t="n">
        <v>46175</v>
      </c>
      <c r="C198" s="70" t="inlineStr">
        <is>
          <t>MP Cartão</t>
        </is>
      </c>
      <c r="D198" s="70" t="inlineStr">
        <is>
          <t>Transporte</t>
        </is>
      </c>
      <c r="E198" s="70" t="inlineStr">
        <is>
          <t>UBER * PENDING</t>
        </is>
      </c>
      <c r="F198" s="73" t="n">
        <v>-24.95</v>
      </c>
      <c r="G198" s="70" t="inlineStr">
        <is>
          <t>BRL</t>
        </is>
      </c>
      <c r="H198" s="72" t="n"/>
      <c r="I198" s="70" t="inlineStr">
        <is>
          <t>Fatura 2026-06</t>
        </is>
      </c>
    </row>
    <row r="199">
      <c r="B199" s="189" t="n">
        <v>46175</v>
      </c>
      <c r="C199" s="66" t="inlineStr">
        <is>
          <t>MP Cartão</t>
        </is>
      </c>
      <c r="D199" s="66" t="inlineStr">
        <is>
          <t>Loteria</t>
        </is>
      </c>
      <c r="E199" s="66" t="inlineStr">
        <is>
          <t>MP*LOTERIASONLINEJEPS</t>
        </is>
      </c>
      <c r="F199" s="74" t="n">
        <v>-161.5</v>
      </c>
      <c r="G199" s="66" t="inlineStr">
        <is>
          <t>BRL</t>
        </is>
      </c>
      <c r="H199" s="68" t="n"/>
      <c r="I199" s="66" t="inlineStr">
        <is>
          <t>Fatura 2026-06</t>
        </is>
      </c>
    </row>
    <row r="200">
      <c r="B200" s="190" t="n">
        <v>46176</v>
      </c>
      <c r="C200" s="70" t="inlineStr">
        <is>
          <t>MP Cartão</t>
        </is>
      </c>
      <c r="D200" s="70" t="inlineStr">
        <is>
          <t>Internet</t>
        </is>
      </c>
      <c r="E200" s="70" t="inlineStr">
        <is>
          <t>STARLINK INTERNET</t>
        </is>
      </c>
      <c r="F200" s="73" t="n">
        <v>-235.52</v>
      </c>
      <c r="G200" s="70" t="inlineStr">
        <is>
          <t>BRL</t>
        </is>
      </c>
      <c r="H200" s="72" t="n"/>
      <c r="I200" s="70" t="inlineStr">
        <is>
          <t>Fatura 2026-06</t>
        </is>
      </c>
    </row>
    <row r="201">
      <c r="B201" s="189" t="n">
        <v>46176</v>
      </c>
      <c r="C201" s="66" t="inlineStr">
        <is>
          <t>MP Cartão</t>
        </is>
      </c>
      <c r="D201" s="66" t="inlineStr">
        <is>
          <t>Transporte</t>
        </is>
      </c>
      <c r="E201" s="66" t="inlineStr">
        <is>
          <t>DL*UberRides</t>
        </is>
      </c>
      <c r="F201" s="74" t="n">
        <v>-11.98</v>
      </c>
      <c r="G201" s="66" t="inlineStr">
        <is>
          <t>BRL</t>
        </is>
      </c>
      <c r="H201" s="68" t="n"/>
      <c r="I201" s="66" t="inlineStr">
        <is>
          <t>Fatura 2026-06</t>
        </is>
      </c>
    </row>
    <row r="202">
      <c r="B202" s="190" t="n">
        <v>46176</v>
      </c>
      <c r="C202" s="70" t="inlineStr">
        <is>
          <t>MP Cartão</t>
        </is>
      </c>
      <c r="D202" s="70" t="inlineStr">
        <is>
          <t>Telecomunicações</t>
        </is>
      </c>
      <c r="E202" s="70" t="inlineStr">
        <is>
          <t>CONTA VIVO</t>
        </is>
      </c>
      <c r="F202" s="73" t="n">
        <v>-74.43000000000001</v>
      </c>
      <c r="G202" s="70" t="inlineStr">
        <is>
          <t>BRL</t>
        </is>
      </c>
      <c r="H202" s="72" t="n"/>
      <c r="I202" s="70" t="inlineStr">
        <is>
          <t>Fatura 2026-06</t>
        </is>
      </c>
    </row>
    <row r="203">
      <c r="B203" s="189" t="n">
        <v>46176</v>
      </c>
      <c r="C203" s="66" t="inlineStr">
        <is>
          <t>MP Cartão</t>
        </is>
      </c>
      <c r="D203" s="66" t="inlineStr">
        <is>
          <t>Transporte</t>
        </is>
      </c>
      <c r="E203" s="66" t="inlineStr">
        <is>
          <t>UBER * PENDING</t>
        </is>
      </c>
      <c r="F203" s="74" t="n">
        <v>-19.68</v>
      </c>
      <c r="G203" s="66" t="inlineStr">
        <is>
          <t>BRL</t>
        </is>
      </c>
      <c r="H203" s="68" t="n"/>
      <c r="I203" s="66" t="inlineStr">
        <is>
          <t>Fatura 2026-06</t>
        </is>
      </c>
    </row>
    <row r="204">
      <c r="B204" s="190" t="n">
        <v>46176</v>
      </c>
      <c r="C204" s="70" t="inlineStr">
        <is>
          <t>MP Cartão</t>
        </is>
      </c>
      <c r="D204" s="70" t="inlineStr">
        <is>
          <t>Loteria</t>
        </is>
      </c>
      <c r="E204" s="70" t="inlineStr">
        <is>
          <t>MP*LOTERIASONLINESPC2</t>
        </is>
      </c>
      <c r="F204" s="73" t="n">
        <v>-117</v>
      </c>
      <c r="G204" s="70" t="inlineStr">
        <is>
          <t>BRL</t>
        </is>
      </c>
      <c r="H204" s="72" t="n"/>
      <c r="I204" s="70" t="inlineStr">
        <is>
          <t>Fatura 2026-06</t>
        </is>
      </c>
    </row>
    <row r="205">
      <c r="B205" s="189" t="n">
        <v>46176</v>
      </c>
      <c r="C205" s="66" t="inlineStr">
        <is>
          <t>MP Cartão</t>
        </is>
      </c>
      <c r="D205" s="66" t="inlineStr">
        <is>
          <t>Transporte</t>
        </is>
      </c>
      <c r="E205" s="66" t="inlineStr">
        <is>
          <t>UBER * PENDING</t>
        </is>
      </c>
      <c r="F205" s="74" t="n">
        <v>-43.99</v>
      </c>
      <c r="G205" s="66" t="inlineStr">
        <is>
          <t>BRL</t>
        </is>
      </c>
      <c r="H205" s="68" t="n"/>
      <c r="I205" s="66" t="inlineStr">
        <is>
          <t>Fatura 2026-06</t>
        </is>
      </c>
    </row>
    <row r="206">
      <c r="B206" s="190" t="n">
        <v>46177</v>
      </c>
      <c r="C206" s="70" t="inlineStr">
        <is>
          <t>MP Cartão</t>
        </is>
      </c>
      <c r="D206" s="70" t="inlineStr">
        <is>
          <t>IA/Tecnologia</t>
        </is>
      </c>
      <c r="E206" s="70" t="inlineStr">
        <is>
          <t>Compra internacional em WWW.PERPLEXITY.AI</t>
        </is>
      </c>
      <c r="F206" s="73" t="n">
        <v>-78.25</v>
      </c>
      <c r="G206" s="70" t="inlineStr">
        <is>
          <t>BRL</t>
        </is>
      </c>
      <c r="H206" s="72" t="n"/>
      <c r="I206" s="70" t="inlineStr">
        <is>
          <t>Fatura 2026-06</t>
        </is>
      </c>
    </row>
    <row r="207">
      <c r="B207" s="189" t="n">
        <v>46177</v>
      </c>
      <c r="C207" s="66" t="inlineStr">
        <is>
          <t>MP Cartão</t>
        </is>
      </c>
      <c r="D207" s="66" t="inlineStr">
        <is>
          <t>IA/Tecnologia</t>
        </is>
      </c>
      <c r="E207" s="66" t="inlineStr">
        <is>
          <t>Compra internacional em WWW.PERPLEXITY.AI</t>
        </is>
      </c>
      <c r="F207" s="74" t="n">
        <v>-78.25</v>
      </c>
      <c r="G207" s="66" t="inlineStr">
        <is>
          <t>BRL</t>
        </is>
      </c>
      <c r="H207" s="68" t="n"/>
      <c r="I207" s="66" t="inlineStr">
        <is>
          <t>Fatura 2026-06</t>
        </is>
      </c>
    </row>
    <row r="208">
      <c r="B208" s="190" t="n">
        <v>46178</v>
      </c>
      <c r="C208" s="70" t="inlineStr">
        <is>
          <t>MP Cartão</t>
        </is>
      </c>
      <c r="D208" s="70" t="inlineStr">
        <is>
          <t>IA/Tecnologia</t>
        </is>
      </c>
      <c r="E208" s="70" t="inlineStr">
        <is>
          <t>Compra internacional em WWW.PERPLEXITY.AI</t>
        </is>
      </c>
      <c r="F208" s="73" t="n">
        <v>-78.25</v>
      </c>
      <c r="G208" s="70" t="inlineStr">
        <is>
          <t>BRL</t>
        </is>
      </c>
      <c r="H208" s="72" t="n"/>
      <c r="I208" s="70" t="inlineStr">
        <is>
          <t>Fatura 2026-06</t>
        </is>
      </c>
    </row>
    <row r="209">
      <c r="B209" s="189" t="n">
        <v>46178</v>
      </c>
      <c r="C209" s="66" t="inlineStr">
        <is>
          <t>Banco Inter</t>
        </is>
      </c>
      <c r="D209" s="66" t="inlineStr">
        <is>
          <t>PIX Out</t>
        </is>
      </c>
      <c r="E209" s="66" t="inlineStr">
        <is>
          <t>Eduardo Silva Dos Santos</t>
        </is>
      </c>
      <c r="F209" s="74" t="n">
        <v>-480</v>
      </c>
      <c r="G209" s="66" t="inlineStr">
        <is>
          <t>BRL</t>
        </is>
      </c>
      <c r="H209" s="68" t="n"/>
      <c r="I209" s="66" t="inlineStr"/>
    </row>
    <row r="210">
      <c r="B210" s="190" t="n">
        <v>46178</v>
      </c>
      <c r="C210" s="70" t="inlineStr">
        <is>
          <t>Wise Brasil</t>
        </is>
      </c>
      <c r="D210" s="70" t="inlineStr">
        <is>
          <t>Outbound</t>
        </is>
      </c>
      <c r="E210" s="70" t="inlineStr">
        <is>
          <t>UK - Eduardo Giovannini</t>
        </is>
      </c>
      <c r="F210" s="73" t="n">
        <v>-514.21</v>
      </c>
      <c r="G210" s="70" t="inlineStr">
        <is>
          <t>USD</t>
        </is>
      </c>
      <c r="H210" s="72" t="n">
        <v>5.1421</v>
      </c>
      <c r="I210" s="70" t="inlineStr">
        <is>
          <t>67995 Wise UK</t>
        </is>
      </c>
    </row>
    <row r="211">
      <c r="B211" s="189" t="n">
        <v>46178</v>
      </c>
      <c r="C211" s="66" t="inlineStr">
        <is>
          <t>Banco Topázio</t>
        </is>
      </c>
      <c r="D211" s="66" t="inlineStr">
        <is>
          <t>Fund Deposit</t>
        </is>
      </c>
      <c r="E211" s="66" t="inlineStr">
        <is>
          <t>Fundos investimento BRL</t>
        </is>
      </c>
      <c r="F211" s="67" t="n">
        <v>78323.92</v>
      </c>
      <c r="G211" s="66" t="inlineStr">
        <is>
          <t>BRL</t>
        </is>
      </c>
      <c r="H211" s="68" t="n">
        <v>0</v>
      </c>
      <c r="I211" s="66" t="inlineStr">
        <is>
          <t>67043 Fund capital</t>
        </is>
      </c>
    </row>
    <row r="212">
      <c r="B212" s="190" t="n">
        <v>46178</v>
      </c>
      <c r="C212" s="70" t="inlineStr">
        <is>
          <t>BB Brasil</t>
        </is>
      </c>
      <c r="D212" s="70" t="inlineStr">
        <is>
          <t>Inbound</t>
        </is>
      </c>
      <c r="E212" s="70" t="inlineStr">
        <is>
          <t>USA → Eduardo Forster Giovannini</t>
        </is>
      </c>
      <c r="F212" s="71" t="n">
        <v>73857</v>
      </c>
      <c r="G212" s="70" t="inlineStr">
        <is>
          <t>BRL</t>
        </is>
      </c>
      <c r="H212" s="72" t="n">
        <v>0</v>
      </c>
      <c r="I212" s="70" t="inlineStr">
        <is>
          <t>72629 Inbound from USA</t>
        </is>
      </c>
    </row>
    <row r="213">
      <c r="B213" s="189" t="n">
        <v>46189</v>
      </c>
      <c r="C213" s="66" t="inlineStr">
        <is>
          <t>Ouribank</t>
        </is>
      </c>
      <c r="D213" s="66" t="inlineStr">
        <is>
          <t>Inbound</t>
        </is>
      </c>
      <c r="E213" s="66" t="inlineStr">
        <is>
          <t>Inbound payment order</t>
        </is>
      </c>
      <c r="F213" s="67" t="n">
        <v>25000</v>
      </c>
      <c r="G213" s="66" t="inlineStr">
        <is>
          <t>BRL</t>
        </is>
      </c>
      <c r="H213" s="68" t="n">
        <v>0</v>
      </c>
      <c r="I213" s="66" t="inlineStr">
        <is>
          <t>72629 Inbound payment order</t>
        </is>
      </c>
    </row>
    <row r="214">
      <c r="B214" s="190" t="n">
        <v>46192</v>
      </c>
      <c r="C214" s="70" t="inlineStr">
        <is>
          <t>Banco Topázio</t>
        </is>
      </c>
      <c r="D214" s="70" t="inlineStr">
        <is>
          <t>Fund Deposit</t>
        </is>
      </c>
      <c r="E214" s="70" t="inlineStr">
        <is>
          <t>Fundos investimento BRL</t>
        </is>
      </c>
      <c r="F214" s="71" t="n">
        <v>52441.91</v>
      </c>
      <c r="G214" s="70" t="inlineStr">
        <is>
          <t>BRL</t>
        </is>
      </c>
      <c r="H214" s="72" t="n">
        <v>0</v>
      </c>
      <c r="I214" s="70" t="inlineStr">
        <is>
          <t>67043 Fund capital</t>
        </is>
      </c>
    </row>
    <row r="215">
      <c r="B215" s="189" t="n">
        <v>46195</v>
      </c>
      <c r="C215" s="66" t="inlineStr">
        <is>
          <t>BB Brasil</t>
        </is>
      </c>
      <c r="D215" s="66" t="inlineStr">
        <is>
          <t>Outbound</t>
        </is>
      </c>
      <c r="E215" s="66" t="inlineStr">
        <is>
          <t>USA - Own Account</t>
        </is>
      </c>
      <c r="F215" s="74" t="n">
        <v>-241545.87</v>
      </c>
      <c r="G215" s="66" t="inlineStr">
        <is>
          <t>USD</t>
        </is>
      </c>
      <c r="H215" s="68" t="n">
        <v>5.2245</v>
      </c>
      <c r="I215" s="66" t="inlineStr">
        <is>
          <t>67995 Self-transfer</t>
        </is>
      </c>
    </row>
    <row r="216">
      <c r="B216" s="190" t="n">
        <v>46195</v>
      </c>
      <c r="C216" s="70" t="inlineStr">
        <is>
          <t>Wise Brasil</t>
        </is>
      </c>
      <c r="D216" s="70" t="inlineStr">
        <is>
          <t>Outbound</t>
        </is>
      </c>
      <c r="E216" s="70" t="inlineStr">
        <is>
          <t>UK - Eduardo Giovannini</t>
        </is>
      </c>
      <c r="F216" s="73" t="n">
        <v>-87442.25999999999</v>
      </c>
      <c r="G216" s="70" t="inlineStr">
        <is>
          <t>USD</t>
        </is>
      </c>
      <c r="H216" s="72" t="n">
        <v>5.1436</v>
      </c>
      <c r="I216" s="70" t="inlineStr">
        <is>
          <t>67995 Wise UK</t>
        </is>
      </c>
    </row>
    <row r="217">
      <c r="B217" s="189" t="n">
        <v>46195</v>
      </c>
      <c r="C217" s="66" t="inlineStr">
        <is>
          <t>Wise Brasil</t>
        </is>
      </c>
      <c r="D217" s="66" t="inlineStr">
        <is>
          <t>IB Deposit</t>
        </is>
      </c>
      <c r="E217" s="66" t="inlineStr">
        <is>
          <t>Interactive Brokers</t>
        </is>
      </c>
      <c r="F217" s="67" t="n">
        <v>38396.86</v>
      </c>
      <c r="G217" s="66" t="inlineStr">
        <is>
          <t>USD</t>
        </is>
      </c>
      <c r="H217" s="68" t="n">
        <v>5.151</v>
      </c>
      <c r="I217" s="66" t="inlineStr">
        <is>
          <t>91992 IB via Wise</t>
        </is>
      </c>
    </row>
    <row r="218">
      <c r="B218" s="190" t="n">
        <v>46198</v>
      </c>
      <c r="C218" s="70" t="inlineStr">
        <is>
          <t>Banco Inter</t>
        </is>
      </c>
      <c r="D218" s="70" t="inlineStr">
        <is>
          <t>PIX In</t>
        </is>
      </c>
      <c r="E218" s="70" t="inlineStr">
        <is>
          <t>Eduardo F Giovannini</t>
        </is>
      </c>
      <c r="F218" s="71" t="n">
        <v>10</v>
      </c>
      <c r="G218" s="70" t="inlineStr">
        <is>
          <t>BRL</t>
        </is>
      </c>
      <c r="H218" s="72" t="n"/>
      <c r="I218" s="70" t="inlineStr"/>
    </row>
    <row r="219">
      <c r="B219" s="189" t="n">
        <v>46199</v>
      </c>
      <c r="C219" s="66" t="inlineStr">
        <is>
          <t>Wise Brasil</t>
        </is>
      </c>
      <c r="D219" s="66" t="inlineStr">
        <is>
          <t>IB Withdraw</t>
        </is>
      </c>
      <c r="E219" s="66" t="inlineStr">
        <is>
          <t>Interactive Brokers</t>
        </is>
      </c>
      <c r="F219" s="67" t="n">
        <v>19195.81</v>
      </c>
      <c r="G219" s="66" t="inlineStr">
        <is>
          <t>USD</t>
        </is>
      </c>
      <c r="H219" s="68" t="n">
        <v>5.1783</v>
      </c>
      <c r="I219" s="66" t="inlineStr">
        <is>
          <t>91992 IB withdrawal via Wise</t>
        </is>
      </c>
    </row>
    <row r="220">
      <c r="B220" s="190" t="n">
        <v>46201</v>
      </c>
      <c r="C220" s="70" t="inlineStr">
        <is>
          <t>Banco Inter</t>
        </is>
      </c>
      <c r="D220" s="70" t="inlineStr">
        <is>
          <t>PIX In</t>
        </is>
      </c>
      <c r="E220" s="70" t="inlineStr">
        <is>
          <t>Eduardo Forster Giovannini</t>
        </is>
      </c>
      <c r="F220" s="71" t="n">
        <v>2000</v>
      </c>
      <c r="G220" s="70" t="inlineStr">
        <is>
          <t>BRL</t>
        </is>
      </c>
      <c r="H220" s="72" t="n"/>
      <c r="I220" s="70" t="inlineStr"/>
    </row>
    <row r="221">
      <c r="B221" s="189" t="n">
        <v>46201</v>
      </c>
      <c r="C221" s="66" t="inlineStr">
        <is>
          <t>Banco Inter</t>
        </is>
      </c>
      <c r="D221" s="66" t="inlineStr">
        <is>
          <t>PIX In</t>
        </is>
      </c>
      <c r="E221" s="66" t="inlineStr">
        <is>
          <t>Eduardo F Giovannini</t>
        </is>
      </c>
      <c r="F221" s="67" t="n">
        <v>40000</v>
      </c>
      <c r="G221" s="66" t="inlineStr">
        <is>
          <t>BRL</t>
        </is>
      </c>
      <c r="H221" s="68" t="n"/>
      <c r="I221" s="66" t="inlineStr"/>
    </row>
  </sheetData>
  <autoFilter ref="B14:I221"/>
  <mergeCells count="3">
    <mergeCell ref="B13:I13"/>
    <mergeCell ref="B1:I1"/>
    <mergeCell ref="B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5621B"/>
    <outlinePr summaryBelow="1" summaryRight="1"/>
    <pageSetUpPr/>
  </sheetPr>
  <dimension ref="B1:J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6" customWidth="1" min="3" max="3"/>
    <col width="22" customWidth="1" min="4" max="4"/>
    <col width="10" customWidth="1" min="5" max="5"/>
    <col width="14" customWidth="1" min="6" max="6"/>
    <col width="8" customWidth="1" min="7" max="7"/>
    <col width="14" customWidth="1" min="8" max="8"/>
    <col width="10" customWidth="1" min="9" max="9"/>
    <col width="16" customWidth="1" min="10" max="10"/>
    <col width="30" customWidth="1" min="11" max="11"/>
  </cols>
  <sheetData>
    <row r="1" ht="30" customHeight="1">
      <c r="B1" s="27" t="inlineStr">
        <is>
          <t xml:space="preserve">  INTERNATIONAL CAPITAL OPERATIONS  ·  BCB Câmbio Register  ·  Jan–Jun 2026</t>
        </is>
      </c>
      <c r="C1" s="4" t="n"/>
      <c r="D1" s="4" t="n"/>
      <c r="E1" s="4" t="n"/>
      <c r="F1" s="4" t="n"/>
      <c r="G1" s="4" t="n"/>
      <c r="H1" s="4" t="n"/>
      <c r="I1" s="4" t="n"/>
      <c r="J1" s="5" t="n"/>
    </row>
    <row r="3" ht="16" customHeight="1">
      <c r="B3" s="28" t="inlineStr">
        <is>
          <t xml:space="preserve">  SUMMARY</t>
        </is>
      </c>
      <c r="C3" s="29" t="n"/>
      <c r="D3" s="29" t="n"/>
      <c r="E3" s="29" t="n"/>
      <c r="F3" s="29" t="n"/>
      <c r="G3" s="29" t="n"/>
      <c r="H3" s="29" t="n"/>
      <c r="I3" s="29" t="n"/>
      <c r="J3" s="30" t="n"/>
    </row>
    <row r="4" ht="16" customHeight="1">
      <c r="B4" s="6" t="inlineStr">
        <is>
          <t>FX Outbound</t>
        </is>
      </c>
      <c r="C4" s="7" t="n"/>
      <c r="D4" s="6" t="inlineStr">
        <is>
          <t>IB Deposits</t>
        </is>
      </c>
      <c r="E4" s="7" t="n"/>
      <c r="F4" s="6" t="inlineStr">
        <is>
          <t>Fund Capital</t>
        </is>
      </c>
      <c r="G4" s="7" t="n"/>
      <c r="H4" s="6" t="inlineStr">
        <is>
          <t>Inbound</t>
        </is>
      </c>
      <c r="I4" s="7" t="n"/>
      <c r="J4" s="6" t="inlineStr">
        <is>
          <t>IB Withdrawal</t>
        </is>
      </c>
    </row>
    <row r="5" ht="30" customHeight="1">
      <c r="B5" s="8" t="n">
        <v>652788.61</v>
      </c>
      <c r="C5" s="7" t="n"/>
      <c r="D5" s="8" t="n">
        <v>197706.57</v>
      </c>
      <c r="E5" s="7" t="n"/>
      <c r="F5" s="8" t="n">
        <v>175765.83</v>
      </c>
      <c r="G5" s="7" t="n"/>
      <c r="H5" s="8" t="n">
        <v>98857</v>
      </c>
      <c r="I5" s="7" t="n"/>
      <c r="J5" s="8" t="n">
        <v>19195.81</v>
      </c>
    </row>
    <row r="7" ht="16" customHeight="1">
      <c r="B7" s="28" t="inlineStr">
        <is>
          <t xml:space="preserve">  BY DIRECTION</t>
        </is>
      </c>
      <c r="C7" s="29" t="n"/>
      <c r="D7" s="29" t="n"/>
      <c r="E7" s="29" t="n"/>
      <c r="F7" s="29" t="n"/>
      <c r="G7" s="29" t="n"/>
      <c r="H7" s="29" t="n"/>
      <c r="I7" s="29" t="n"/>
      <c r="J7" s="30" t="n"/>
    </row>
    <row r="8" ht="18" customHeight="1">
      <c r="B8" s="11" t="inlineStr">
        <is>
          <t>Direction</t>
        </is>
      </c>
      <c r="C8" s="11" t="inlineStr">
        <is>
          <t>Count</t>
        </is>
      </c>
      <c r="D8" s="11" t="inlineStr">
        <is>
          <t>BRL Total</t>
        </is>
      </c>
      <c r="E8" s="11" t="inlineStr">
        <is>
          <t>USD Total</t>
        </is>
      </c>
      <c r="F8" s="11" t="inlineStr">
        <is>
          <t>Avg Rate</t>
        </is>
      </c>
      <c r="G8" s="11" t="inlineStr">
        <is>
          <t>% of Outflow</t>
        </is>
      </c>
      <c r="H8" s="11" t="inlineStr">
        <is>
          <t>Institutions</t>
        </is>
      </c>
    </row>
    <row r="9">
      <c r="B9" s="32" t="inlineStr">
        <is>
          <t>Outbound</t>
        </is>
      </c>
      <c r="C9" s="48" t="n">
        <v>19</v>
      </c>
      <c r="D9" s="33" t="n">
        <v>652788.61</v>
      </c>
      <c r="E9" s="48" t="n">
        <v>126279.38</v>
      </c>
      <c r="F9" s="49" t="n">
        <v>5.179926315789474</v>
      </c>
      <c r="G9" s="191" t="n">
        <v>0.608330066344453</v>
      </c>
      <c r="H9" s="32" t="inlineStr">
        <is>
          <t>BB Brasil, Banco Inter, Wise Brasil</t>
        </is>
      </c>
    </row>
    <row r="10">
      <c r="B10" s="35" t="inlineStr">
        <is>
          <t>IB Deposit</t>
        </is>
      </c>
      <c r="C10" s="45" t="n">
        <v>7</v>
      </c>
      <c r="D10" s="36" t="n">
        <v>197706.57</v>
      </c>
      <c r="E10" s="45" t="n">
        <v>38801.24</v>
      </c>
      <c r="F10" s="46" t="n">
        <v>5.121042857142856</v>
      </c>
      <c r="G10" s="192" t="n">
        <v>0.1842416503634067</v>
      </c>
      <c r="H10" s="35" t="inlineStr">
        <is>
          <t>Banco Topázio, Wise Brasil</t>
        </is>
      </c>
    </row>
    <row r="11">
      <c r="B11" s="32" t="inlineStr">
        <is>
          <t>Fund Deposit</t>
        </is>
      </c>
      <c r="C11" s="48" t="n">
        <v>3</v>
      </c>
      <c r="D11" s="33" t="n">
        <v>175765.83</v>
      </c>
      <c r="E11" s="77" t="n">
        <v>0</v>
      </c>
      <c r="F11" s="77" t="n">
        <v>0</v>
      </c>
      <c r="G11" s="191" t="n">
        <v>0.1637951970776388</v>
      </c>
      <c r="H11" s="32" t="inlineStr">
        <is>
          <t>Banco Topázio</t>
        </is>
      </c>
    </row>
    <row r="12">
      <c r="B12" s="35" t="inlineStr">
        <is>
          <t>Inbound</t>
        </is>
      </c>
      <c r="C12" s="45" t="n">
        <v>2</v>
      </c>
      <c r="D12" s="36" t="n">
        <v>98857</v>
      </c>
      <c r="E12" s="78" t="n">
        <v>0</v>
      </c>
      <c r="F12" s="78" t="n">
        <v>0</v>
      </c>
      <c r="G12" s="78" t="n">
        <v>0</v>
      </c>
      <c r="H12" s="35" t="inlineStr">
        <is>
          <t>BB Brasil, Ouribank</t>
        </is>
      </c>
    </row>
    <row r="13">
      <c r="B13" s="32" t="inlineStr">
        <is>
          <t>Travel FX</t>
        </is>
      </c>
      <c r="C13" s="48" t="n">
        <v>3</v>
      </c>
      <c r="D13" s="33" t="n">
        <v>27626.11</v>
      </c>
      <c r="E13" s="48" t="n">
        <v>4300</v>
      </c>
      <c r="F13" s="49" t="n">
        <v>6.594166666666666</v>
      </c>
      <c r="G13" s="191" t="n">
        <v>0.02574461789267303</v>
      </c>
      <c r="H13" s="32" t="inlineStr">
        <is>
          <t>Daycoval</t>
        </is>
      </c>
    </row>
    <row r="14">
      <c r="B14" s="35" t="inlineStr">
        <is>
          <t>IB Withdraw</t>
        </is>
      </c>
      <c r="C14" s="45" t="n">
        <v>1</v>
      </c>
      <c r="D14" s="36" t="n">
        <v>19195.81</v>
      </c>
      <c r="E14" s="45" t="n">
        <v>3834.82</v>
      </c>
      <c r="F14" s="46" t="n">
        <v>5.1783</v>
      </c>
      <c r="G14" s="192" t="n">
        <v>0.01788846832182859</v>
      </c>
      <c r="H14" s="35" t="inlineStr">
        <is>
          <t>Wise Brasil</t>
        </is>
      </c>
    </row>
    <row r="17" ht="16" customHeight="1">
      <c r="B17" s="28" t="inlineStr">
        <is>
          <t xml:space="preserve">  FULL OPERATIONS LOG  (32 operations)</t>
        </is>
      </c>
      <c r="C17" s="29" t="n"/>
      <c r="D17" s="29" t="n"/>
      <c r="E17" s="29" t="n"/>
      <c r="F17" s="29" t="n"/>
      <c r="G17" s="29" t="n"/>
      <c r="H17" s="29" t="n"/>
      <c r="I17" s="29" t="n"/>
      <c r="J17" s="30" t="n"/>
    </row>
    <row r="18" ht="18" customHeight="1">
      <c r="B18" s="11" t="inlineStr">
        <is>
          <t>Date</t>
        </is>
      </c>
      <c r="C18" s="11" t="inlineStr">
        <is>
          <t>Institution</t>
        </is>
      </c>
      <c r="D18" s="11" t="inlineStr">
        <is>
          <t>Destination</t>
        </is>
      </c>
      <c r="E18" s="11" t="inlineStr">
        <is>
          <t>FCY</t>
        </is>
      </c>
      <c r="F18" s="11" t="inlineStr">
        <is>
          <t>BRL</t>
        </is>
      </c>
      <c r="G18" s="11" t="inlineStr">
        <is>
          <t>CCY</t>
        </is>
      </c>
      <c r="H18" s="11" t="inlineStr">
        <is>
          <t>Direction</t>
        </is>
      </c>
      <c r="I18" s="11" t="inlineStr">
        <is>
          <t>Rate</t>
        </is>
      </c>
      <c r="J18" s="11" t="inlineStr">
        <is>
          <t>Nature</t>
        </is>
      </c>
    </row>
    <row r="19">
      <c r="B19" s="189" t="n">
        <v>46048</v>
      </c>
      <c r="C19" s="66" t="inlineStr">
        <is>
          <t>Banco Topázio</t>
        </is>
      </c>
      <c r="D19" s="66" t="inlineStr">
        <is>
          <t>Interactive Brokers</t>
        </is>
      </c>
      <c r="E19" s="79" t="n">
        <v>200</v>
      </c>
      <c r="F19" s="67" t="n">
        <v>1071.22</v>
      </c>
      <c r="G19" s="66" t="inlineStr">
        <is>
          <t>USD</t>
        </is>
      </c>
      <c r="H19" s="66" t="inlineStr">
        <is>
          <t>IB Deposit</t>
        </is>
      </c>
      <c r="I19" s="68" t="n">
        <v>5.3561</v>
      </c>
      <c r="J19" s="66" t="inlineStr">
        <is>
          <t>91992 IB deposit</t>
        </is>
      </c>
    </row>
    <row r="20">
      <c r="B20" s="190" t="n">
        <v>46049</v>
      </c>
      <c r="C20" s="70" t="inlineStr">
        <is>
          <t>BB Brasil</t>
        </is>
      </c>
      <c r="D20" s="70" t="inlineStr">
        <is>
          <t>USA - Own Account</t>
        </is>
      </c>
      <c r="E20" s="80" t="n">
        <v>3000</v>
      </c>
      <c r="F20" s="73" t="n">
        <v>15886.01</v>
      </c>
      <c r="G20" s="70" t="inlineStr">
        <is>
          <t>USD</t>
        </is>
      </c>
      <c r="H20" s="70" t="inlineStr">
        <is>
          <t>Outbound</t>
        </is>
      </c>
      <c r="I20" s="72" t="n">
        <v>5.2953</v>
      </c>
      <c r="J20" s="70" t="inlineStr">
        <is>
          <t>67995 Self-transfer</t>
        </is>
      </c>
    </row>
    <row r="21">
      <c r="B21" s="189" t="n">
        <v>46052</v>
      </c>
      <c r="C21" s="66" t="inlineStr">
        <is>
          <t>BB Brasil</t>
        </is>
      </c>
      <c r="D21" s="66" t="inlineStr">
        <is>
          <t>USA - Own Account</t>
        </is>
      </c>
      <c r="E21" s="79" t="n">
        <v>3000</v>
      </c>
      <c r="F21" s="74" t="n">
        <v>16063.89</v>
      </c>
      <c r="G21" s="66" t="inlineStr">
        <is>
          <t>USD</t>
        </is>
      </c>
      <c r="H21" s="66" t="inlineStr">
        <is>
          <t>Outbound</t>
        </is>
      </c>
      <c r="I21" s="68" t="n">
        <v>5.3546</v>
      </c>
      <c r="J21" s="66" t="inlineStr">
        <is>
          <t>67995 Self-transfer</t>
        </is>
      </c>
    </row>
    <row r="22">
      <c r="B22" s="190" t="n">
        <v>46062</v>
      </c>
      <c r="C22" s="70" t="inlineStr">
        <is>
          <t>BB Brasil</t>
        </is>
      </c>
      <c r="D22" s="70" t="inlineStr">
        <is>
          <t>USA - Own Account</t>
        </is>
      </c>
      <c r="E22" s="80" t="n">
        <v>3000</v>
      </c>
      <c r="F22" s="73" t="n">
        <v>15868.79</v>
      </c>
      <c r="G22" s="70" t="inlineStr">
        <is>
          <t>USD</t>
        </is>
      </c>
      <c r="H22" s="70" t="inlineStr">
        <is>
          <t>Outbound</t>
        </is>
      </c>
      <c r="I22" s="72" t="n">
        <v>5.2896</v>
      </c>
      <c r="J22" s="70" t="inlineStr">
        <is>
          <t>67995 Self-transfer</t>
        </is>
      </c>
    </row>
    <row r="23">
      <c r="B23" s="189" t="n">
        <v>46064</v>
      </c>
      <c r="C23" s="66" t="inlineStr">
        <is>
          <t>BB Brasil</t>
        </is>
      </c>
      <c r="D23" s="66" t="inlineStr">
        <is>
          <t>USA - Own Account</t>
        </is>
      </c>
      <c r="E23" s="79" t="n">
        <v>3000</v>
      </c>
      <c r="F23" s="74" t="n">
        <v>15789.96</v>
      </c>
      <c r="G23" s="66" t="inlineStr">
        <is>
          <t>USD</t>
        </is>
      </c>
      <c r="H23" s="66" t="inlineStr">
        <is>
          <t>Outbound</t>
        </is>
      </c>
      <c r="I23" s="68" t="n">
        <v>5.2633</v>
      </c>
      <c r="J23" s="66" t="inlineStr">
        <is>
          <t>67995 Self-transfer</t>
        </is>
      </c>
    </row>
    <row r="24">
      <c r="B24" s="190" t="n">
        <v>46084</v>
      </c>
      <c r="C24" s="70" t="inlineStr">
        <is>
          <t>BB Brasil</t>
        </is>
      </c>
      <c r="D24" s="70" t="inlineStr">
        <is>
          <t>USA - Own Account</t>
        </is>
      </c>
      <c r="E24" s="80" t="n">
        <v>3000</v>
      </c>
      <c r="F24" s="73" t="n">
        <v>16024.35</v>
      </c>
      <c r="G24" s="70" t="inlineStr">
        <is>
          <t>USD</t>
        </is>
      </c>
      <c r="H24" s="70" t="inlineStr">
        <is>
          <t>Outbound</t>
        </is>
      </c>
      <c r="I24" s="72" t="n">
        <v>5.3414</v>
      </c>
      <c r="J24" s="70" t="inlineStr">
        <is>
          <t>67995 Self-transfer</t>
        </is>
      </c>
    </row>
    <row r="25">
      <c r="B25" s="189" t="n">
        <v>46094</v>
      </c>
      <c r="C25" s="66" t="inlineStr">
        <is>
          <t>BB Brasil</t>
        </is>
      </c>
      <c r="D25" s="66" t="inlineStr">
        <is>
          <t>USA - Own Account</t>
        </is>
      </c>
      <c r="E25" s="79" t="n">
        <v>3000</v>
      </c>
      <c r="F25" s="74" t="n">
        <v>15877.18</v>
      </c>
      <c r="G25" s="66" t="inlineStr">
        <is>
          <t>USD</t>
        </is>
      </c>
      <c r="H25" s="66" t="inlineStr">
        <is>
          <t>Outbound</t>
        </is>
      </c>
      <c r="I25" s="68" t="n">
        <v>5.2924</v>
      </c>
      <c r="J25" s="66" t="inlineStr">
        <is>
          <t>67995 Self-transfer</t>
        </is>
      </c>
    </row>
    <row r="26">
      <c r="B26" s="190" t="n">
        <v>46099</v>
      </c>
      <c r="C26" s="70" t="inlineStr">
        <is>
          <t>BB Brasil</t>
        </is>
      </c>
      <c r="D26" s="70" t="inlineStr">
        <is>
          <t>USA - Own Account</t>
        </is>
      </c>
      <c r="E26" s="80" t="n">
        <v>3000</v>
      </c>
      <c r="F26" s="73" t="n">
        <v>15963.15</v>
      </c>
      <c r="G26" s="70" t="inlineStr">
        <is>
          <t>USD</t>
        </is>
      </c>
      <c r="H26" s="70" t="inlineStr">
        <is>
          <t>Outbound</t>
        </is>
      </c>
      <c r="I26" s="72" t="n">
        <v>5.3211</v>
      </c>
      <c r="J26" s="70" t="inlineStr">
        <is>
          <t>67995 Self-transfer</t>
        </is>
      </c>
    </row>
    <row r="27">
      <c r="B27" s="189" t="n">
        <v>46134</v>
      </c>
      <c r="C27" s="66" t="inlineStr">
        <is>
          <t>BB Brasil</t>
        </is>
      </c>
      <c r="D27" s="66" t="inlineStr">
        <is>
          <t>USA - Own Account</t>
        </is>
      </c>
      <c r="E27" s="79" t="n">
        <v>3000</v>
      </c>
      <c r="F27" s="74" t="n">
        <v>15878.08</v>
      </c>
      <c r="G27" s="66" t="inlineStr">
        <is>
          <t>USD</t>
        </is>
      </c>
      <c r="H27" s="66" t="inlineStr">
        <is>
          <t>Outbound</t>
        </is>
      </c>
      <c r="I27" s="68" t="n">
        <v>5.2927</v>
      </c>
      <c r="J27" s="66" t="inlineStr">
        <is>
          <t>67995 Self-transfer</t>
        </is>
      </c>
    </row>
    <row r="28">
      <c r="B28" s="190" t="n">
        <v>46142</v>
      </c>
      <c r="C28" s="70" t="inlineStr">
        <is>
          <t>Banco Topázio</t>
        </is>
      </c>
      <c r="D28" s="70" t="inlineStr">
        <is>
          <t>Interactive Brokers</t>
        </is>
      </c>
      <c r="E28" s="80" t="n">
        <v>100</v>
      </c>
      <c r="F28" s="71" t="n">
        <v>503.62</v>
      </c>
      <c r="G28" s="70" t="inlineStr">
        <is>
          <t>USD</t>
        </is>
      </c>
      <c r="H28" s="70" t="inlineStr">
        <is>
          <t>IB Deposit</t>
        </is>
      </c>
      <c r="I28" s="72" t="n">
        <v>5.0362</v>
      </c>
      <c r="J28" s="70" t="inlineStr">
        <is>
          <t>91992 IB deposit</t>
        </is>
      </c>
    </row>
    <row r="29">
      <c r="B29" s="189" t="n">
        <v>46149</v>
      </c>
      <c r="C29" s="66" t="inlineStr">
        <is>
          <t>BB Brasil</t>
        </is>
      </c>
      <c r="D29" s="66" t="inlineStr">
        <is>
          <t>USA - Own Account</t>
        </is>
      </c>
      <c r="E29" s="79" t="n">
        <v>3000</v>
      </c>
      <c r="F29" s="74" t="n">
        <v>15132.89</v>
      </c>
      <c r="G29" s="66" t="inlineStr">
        <is>
          <t>USD</t>
        </is>
      </c>
      <c r="H29" s="66" t="inlineStr">
        <is>
          <t>Outbound</t>
        </is>
      </c>
      <c r="I29" s="68" t="n">
        <v>5.0443</v>
      </c>
      <c r="J29" s="66" t="inlineStr">
        <is>
          <t>67995 Self-transfer</t>
        </is>
      </c>
    </row>
    <row r="30">
      <c r="B30" s="190" t="n">
        <v>46149</v>
      </c>
      <c r="C30" s="70" t="inlineStr">
        <is>
          <t>Banco Inter</t>
        </is>
      </c>
      <c r="D30" s="70" t="inlineStr">
        <is>
          <t>USA - Own Account</t>
        </is>
      </c>
      <c r="E30" s="80" t="n">
        <v>5000</v>
      </c>
      <c r="F30" s="73" t="n">
        <v>24939.84</v>
      </c>
      <c r="G30" s="70" t="inlineStr">
        <is>
          <t>USD</t>
        </is>
      </c>
      <c r="H30" s="70" t="inlineStr">
        <is>
          <t>Outbound</t>
        </is>
      </c>
      <c r="I30" s="72" t="n">
        <v>4.988</v>
      </c>
      <c r="J30" s="70" t="inlineStr">
        <is>
          <t>67995 Self-transfer via Inter</t>
        </is>
      </c>
    </row>
    <row r="31">
      <c r="B31" s="189" t="n">
        <v>46153</v>
      </c>
      <c r="C31" s="66" t="inlineStr">
        <is>
          <t>Banco Inter</t>
        </is>
      </c>
      <c r="D31" s="66" t="inlineStr">
        <is>
          <t>USA - Own Account</t>
        </is>
      </c>
      <c r="E31" s="79" t="n">
        <v>15000</v>
      </c>
      <c r="F31" s="74" t="n">
        <v>74340.39999999999</v>
      </c>
      <c r="G31" s="66" t="inlineStr">
        <is>
          <t>USD</t>
        </is>
      </c>
      <c r="H31" s="66" t="inlineStr">
        <is>
          <t>Outbound</t>
        </is>
      </c>
      <c r="I31" s="68" t="n">
        <v>4.956</v>
      </c>
      <c r="J31" s="66" t="inlineStr">
        <is>
          <t>67995 Self-transfer via Inter</t>
        </is>
      </c>
    </row>
    <row r="32">
      <c r="B32" s="190" t="n">
        <v>46157</v>
      </c>
      <c r="C32" s="70" t="inlineStr">
        <is>
          <t>BB Brasil</t>
        </is>
      </c>
      <c r="D32" s="70" t="inlineStr">
        <is>
          <t>USA - Own Account</t>
        </is>
      </c>
      <c r="E32" s="80" t="n">
        <v>500</v>
      </c>
      <c r="F32" s="73" t="n">
        <v>2577.87</v>
      </c>
      <c r="G32" s="70" t="inlineStr">
        <is>
          <t>USD</t>
        </is>
      </c>
      <c r="H32" s="70" t="inlineStr">
        <is>
          <t>Outbound</t>
        </is>
      </c>
      <c r="I32" s="72" t="n">
        <v>5.1558</v>
      </c>
      <c r="J32" s="70" t="inlineStr">
        <is>
          <t>67995 Self-transfer</t>
        </is>
      </c>
    </row>
    <row r="33">
      <c r="B33" s="189" t="n">
        <v>46157</v>
      </c>
      <c r="C33" s="66" t="inlineStr">
        <is>
          <t>Wise Brasil</t>
        </is>
      </c>
      <c r="D33" s="66" t="inlineStr">
        <is>
          <t>UK - Eduardo Giovannini</t>
        </is>
      </c>
      <c r="E33" s="79" t="n">
        <v>250</v>
      </c>
      <c r="F33" s="74" t="n">
        <v>1246.27</v>
      </c>
      <c r="G33" s="66" t="inlineStr">
        <is>
          <t>USD</t>
        </is>
      </c>
      <c r="H33" s="66" t="inlineStr">
        <is>
          <t>Outbound</t>
        </is>
      </c>
      <c r="I33" s="68" t="n">
        <v>4.9851</v>
      </c>
      <c r="J33" s="66" t="inlineStr">
        <is>
          <t>67995 Wise UK</t>
        </is>
      </c>
    </row>
    <row r="34">
      <c r="B34" s="190" t="n">
        <v>46160</v>
      </c>
      <c r="C34" s="70" t="inlineStr">
        <is>
          <t>BB Brasil</t>
        </is>
      </c>
      <c r="D34" s="70" t="inlineStr">
        <is>
          <t>USA - Own Account</t>
        </is>
      </c>
      <c r="E34" s="80" t="n">
        <v>200</v>
      </c>
      <c r="F34" s="73" t="n">
        <v>1019.15</v>
      </c>
      <c r="G34" s="70" t="inlineStr">
        <is>
          <t>USD</t>
        </is>
      </c>
      <c r="H34" s="70" t="inlineStr">
        <is>
          <t>Outbound</t>
        </is>
      </c>
      <c r="I34" s="72" t="n">
        <v>5.0958</v>
      </c>
      <c r="J34" s="70" t="inlineStr">
        <is>
          <t>67995 Self-transfer</t>
        </is>
      </c>
    </row>
    <row r="35">
      <c r="B35" s="189" t="n">
        <v>46160</v>
      </c>
      <c r="C35" s="66" t="inlineStr">
        <is>
          <t>Wise Brasil</t>
        </is>
      </c>
      <c r="D35" s="66" t="inlineStr">
        <is>
          <t>Interactive Brokers</t>
        </is>
      </c>
      <c r="E35" s="79" t="n">
        <v>3834.82</v>
      </c>
      <c r="F35" s="67" t="n">
        <v>19195.81</v>
      </c>
      <c r="G35" s="66" t="inlineStr">
        <is>
          <t>USD</t>
        </is>
      </c>
      <c r="H35" s="66" t="inlineStr">
        <is>
          <t>IB Deposit</t>
        </is>
      </c>
      <c r="I35" s="68" t="n">
        <v>5.0056</v>
      </c>
      <c r="J35" s="66" t="inlineStr">
        <is>
          <t>91992 IB via Wise</t>
        </is>
      </c>
    </row>
    <row r="36">
      <c r="B36" s="190" t="n">
        <v>46161</v>
      </c>
      <c r="C36" s="70" t="inlineStr">
        <is>
          <t>Banco Topázio</t>
        </is>
      </c>
      <c r="D36" s="70" t="inlineStr">
        <is>
          <t>Interactive Brokers</t>
        </is>
      </c>
      <c r="E36" s="80" t="n">
        <v>1000</v>
      </c>
      <c r="F36" s="71" t="n">
        <v>5114.85</v>
      </c>
      <c r="G36" s="70" t="inlineStr">
        <is>
          <t>USD</t>
        </is>
      </c>
      <c r="H36" s="70" t="inlineStr">
        <is>
          <t>IB Deposit</t>
        </is>
      </c>
      <c r="I36" s="72" t="n">
        <v>5.1149</v>
      </c>
      <c r="J36" s="70" t="inlineStr">
        <is>
          <t>91992 IB deposit</t>
        </is>
      </c>
    </row>
    <row r="37">
      <c r="B37" s="189" t="n">
        <v>46162</v>
      </c>
      <c r="C37" s="66" t="inlineStr">
        <is>
          <t>Banco Topázio</t>
        </is>
      </c>
      <c r="D37" s="66" t="inlineStr">
        <is>
          <t>Interactive Brokers</t>
        </is>
      </c>
      <c r="E37" s="79" t="n">
        <v>6212.32</v>
      </c>
      <c r="F37" s="67" t="n">
        <v>31651.83</v>
      </c>
      <c r="G37" s="66" t="inlineStr">
        <is>
          <t>USD</t>
        </is>
      </c>
      <c r="H37" s="66" t="inlineStr">
        <is>
          <t>IB Deposit</t>
        </is>
      </c>
      <c r="I37" s="68" t="n">
        <v>5.0949</v>
      </c>
      <c r="J37" s="66" t="inlineStr">
        <is>
          <t>91992 IB deposit</t>
        </is>
      </c>
    </row>
    <row r="38">
      <c r="B38" s="190" t="n">
        <v>46164</v>
      </c>
      <c r="C38" s="70" t="inlineStr">
        <is>
          <t>Banco Topázio</t>
        </is>
      </c>
      <c r="D38" s="70" t="inlineStr">
        <is>
          <t>Fundos investimento BRL</t>
        </is>
      </c>
      <c r="E38" s="81" t="n">
        <v>0</v>
      </c>
      <c r="F38" s="71" t="n">
        <v>45000</v>
      </c>
      <c r="G38" s="70" t="inlineStr">
        <is>
          <t>BRL</t>
        </is>
      </c>
      <c r="H38" s="70" t="inlineStr">
        <is>
          <t>Fund Deposit</t>
        </is>
      </c>
      <c r="I38" s="81" t="n">
        <v>0</v>
      </c>
      <c r="J38" s="70" t="inlineStr">
        <is>
          <t>67043 Fund capital</t>
        </is>
      </c>
    </row>
    <row r="39">
      <c r="B39" s="189" t="n">
        <v>46168</v>
      </c>
      <c r="C39" s="66" t="inlineStr">
        <is>
          <t>BB Brasil</t>
        </is>
      </c>
      <c r="D39" s="66" t="inlineStr">
        <is>
          <t>USA - Own Account</t>
        </is>
      </c>
      <c r="E39" s="79" t="n">
        <v>10000</v>
      </c>
      <c r="F39" s="74" t="n">
        <v>51027.68</v>
      </c>
      <c r="G39" s="66" t="inlineStr">
        <is>
          <t>USD</t>
        </is>
      </c>
      <c r="H39" s="66" t="inlineStr">
        <is>
          <t>Outbound</t>
        </is>
      </c>
      <c r="I39" s="68" t="n">
        <v>5.1028</v>
      </c>
      <c r="J39" s="66" t="inlineStr">
        <is>
          <t>67995 Self-transfer</t>
        </is>
      </c>
    </row>
    <row r="40">
      <c r="B40" s="190" t="n">
        <v>46170</v>
      </c>
      <c r="C40" s="70" t="inlineStr">
        <is>
          <t>BB Brasil</t>
        </is>
      </c>
      <c r="D40" s="70" t="inlineStr">
        <is>
          <t>USA - Own Account</t>
        </is>
      </c>
      <c r="E40" s="80" t="n">
        <v>5000</v>
      </c>
      <c r="F40" s="73" t="n">
        <v>25650.76</v>
      </c>
      <c r="G40" s="70" t="inlineStr">
        <is>
          <t>USD</t>
        </is>
      </c>
      <c r="H40" s="70" t="inlineStr">
        <is>
          <t>Outbound</t>
        </is>
      </c>
      <c r="I40" s="72" t="n">
        <v>5.1302</v>
      </c>
      <c r="J40" s="70" t="inlineStr">
        <is>
          <t>67995 Self-transfer</t>
        </is>
      </c>
    </row>
    <row r="41">
      <c r="B41" s="189" t="n">
        <v>46170</v>
      </c>
      <c r="C41" s="66" t="inlineStr">
        <is>
          <t>Banco Topázio</t>
        </is>
      </c>
      <c r="D41" s="66" t="inlineStr">
        <is>
          <t>Interactive Brokers</t>
        </is>
      </c>
      <c r="E41" s="79" t="n">
        <v>20000</v>
      </c>
      <c r="F41" s="67" t="n">
        <v>101772.38</v>
      </c>
      <c r="G41" s="66" t="inlineStr">
        <is>
          <t>USD</t>
        </is>
      </c>
      <c r="H41" s="66" t="inlineStr">
        <is>
          <t>IB Deposit</t>
        </is>
      </c>
      <c r="I41" s="68" t="n">
        <v>5.0886</v>
      </c>
      <c r="J41" s="66" t="inlineStr">
        <is>
          <t>91992 IB deposit</t>
        </is>
      </c>
    </row>
    <row r="42">
      <c r="B42" s="190" t="n">
        <v>46178</v>
      </c>
      <c r="C42" s="70" t="inlineStr">
        <is>
          <t>Wise Brasil</t>
        </is>
      </c>
      <c r="D42" s="70" t="inlineStr">
        <is>
          <t>UK - Eduardo Giovannini</t>
        </is>
      </c>
      <c r="E42" s="80" t="n">
        <v>100</v>
      </c>
      <c r="F42" s="73" t="n">
        <v>514.21</v>
      </c>
      <c r="G42" s="70" t="inlineStr">
        <is>
          <t>USD</t>
        </is>
      </c>
      <c r="H42" s="70" t="inlineStr">
        <is>
          <t>Outbound</t>
        </is>
      </c>
      <c r="I42" s="72" t="n">
        <v>5.1421</v>
      </c>
      <c r="J42" s="70" t="inlineStr">
        <is>
          <t>67995 Wise UK</t>
        </is>
      </c>
    </row>
    <row r="43">
      <c r="B43" s="189" t="n">
        <v>46178</v>
      </c>
      <c r="C43" s="66" t="inlineStr">
        <is>
          <t>Banco Topázio</t>
        </is>
      </c>
      <c r="D43" s="66" t="inlineStr">
        <is>
          <t>Fundos investimento BRL</t>
        </is>
      </c>
      <c r="E43" s="82" t="n">
        <v>0</v>
      </c>
      <c r="F43" s="67" t="n">
        <v>78323.92</v>
      </c>
      <c r="G43" s="66" t="inlineStr">
        <is>
          <t>BRL</t>
        </is>
      </c>
      <c r="H43" s="66" t="inlineStr">
        <is>
          <t>Fund Deposit</t>
        </is>
      </c>
      <c r="I43" s="82" t="n">
        <v>0</v>
      </c>
      <c r="J43" s="66" t="inlineStr">
        <is>
          <t>67043 Fund capital</t>
        </is>
      </c>
    </row>
    <row r="44">
      <c r="B44" s="190" t="n">
        <v>46178</v>
      </c>
      <c r="C44" s="70" t="inlineStr">
        <is>
          <t>BB Brasil</t>
        </is>
      </c>
      <c r="D44" s="70" t="inlineStr">
        <is>
          <t>USA → Eduardo Forster Giovannini</t>
        </is>
      </c>
      <c r="E44" s="81" t="n">
        <v>0</v>
      </c>
      <c r="F44" s="71" t="n">
        <v>73857</v>
      </c>
      <c r="G44" s="70" t="inlineStr">
        <is>
          <t>BRL</t>
        </is>
      </c>
      <c r="H44" s="70" t="inlineStr">
        <is>
          <t>Inbound</t>
        </is>
      </c>
      <c r="I44" s="81" t="n">
        <v>0</v>
      </c>
      <c r="J44" s="70" t="inlineStr">
        <is>
          <t>72629 Inbound from USA</t>
        </is>
      </c>
    </row>
    <row r="45">
      <c r="B45" s="189" t="n">
        <v>46189</v>
      </c>
      <c r="C45" s="66" t="inlineStr">
        <is>
          <t>Ouribank</t>
        </is>
      </c>
      <c r="D45" s="66" t="inlineStr">
        <is>
          <t>Inbound payment order</t>
        </is>
      </c>
      <c r="E45" s="82" t="n">
        <v>0</v>
      </c>
      <c r="F45" s="67" t="n">
        <v>25000</v>
      </c>
      <c r="G45" s="66" t="inlineStr">
        <is>
          <t>BRL</t>
        </is>
      </c>
      <c r="H45" s="66" t="inlineStr">
        <is>
          <t>Inbound</t>
        </is>
      </c>
      <c r="I45" s="82" t="n">
        <v>0</v>
      </c>
      <c r="J45" s="66" t="inlineStr">
        <is>
          <t>72629 Inbound payment order</t>
        </is>
      </c>
    </row>
    <row r="46">
      <c r="B46" s="190" t="n">
        <v>46192</v>
      </c>
      <c r="C46" s="70" t="inlineStr">
        <is>
          <t>Banco Topázio</t>
        </is>
      </c>
      <c r="D46" s="70" t="inlineStr">
        <is>
          <t>Fundos investimento BRL</t>
        </is>
      </c>
      <c r="E46" s="81" t="n">
        <v>0</v>
      </c>
      <c r="F46" s="71" t="n">
        <v>52441.91</v>
      </c>
      <c r="G46" s="70" t="inlineStr">
        <is>
          <t>BRL</t>
        </is>
      </c>
      <c r="H46" s="70" t="inlineStr">
        <is>
          <t>Fund Deposit</t>
        </is>
      </c>
      <c r="I46" s="81" t="n">
        <v>0</v>
      </c>
      <c r="J46" s="70" t="inlineStr">
        <is>
          <t>67043 Fund capital</t>
        </is>
      </c>
    </row>
    <row r="47">
      <c r="B47" s="189" t="n">
        <v>46195</v>
      </c>
      <c r="C47" s="66" t="inlineStr">
        <is>
          <t>BB Brasil</t>
        </is>
      </c>
      <c r="D47" s="66" t="inlineStr">
        <is>
          <t>USA - Own Account</t>
        </is>
      </c>
      <c r="E47" s="79" t="n">
        <v>46229.38</v>
      </c>
      <c r="F47" s="74" t="n">
        <v>241545.87</v>
      </c>
      <c r="G47" s="66" t="inlineStr">
        <is>
          <t>USD</t>
        </is>
      </c>
      <c r="H47" s="66" t="inlineStr">
        <is>
          <t>Outbound</t>
        </is>
      </c>
      <c r="I47" s="68" t="n">
        <v>5.2245</v>
      </c>
      <c r="J47" s="66" t="inlineStr">
        <is>
          <t>67995 Self-transfer</t>
        </is>
      </c>
    </row>
    <row r="48">
      <c r="B48" s="190" t="n">
        <v>46195</v>
      </c>
      <c r="C48" s="70" t="inlineStr">
        <is>
          <t>Wise Brasil</t>
        </is>
      </c>
      <c r="D48" s="70" t="inlineStr">
        <is>
          <t>UK - Eduardo Giovannini</t>
        </is>
      </c>
      <c r="E48" s="80" t="n">
        <v>17000</v>
      </c>
      <c r="F48" s="73" t="n">
        <v>87442.25999999999</v>
      </c>
      <c r="G48" s="70" t="inlineStr">
        <is>
          <t>USD</t>
        </is>
      </c>
      <c r="H48" s="70" t="inlineStr">
        <is>
          <t>Outbound</t>
        </is>
      </c>
      <c r="I48" s="72" t="n">
        <v>5.1436</v>
      </c>
      <c r="J48" s="70" t="inlineStr">
        <is>
          <t>67995 Wise UK</t>
        </is>
      </c>
    </row>
    <row r="49">
      <c r="B49" s="189" t="n">
        <v>46195</v>
      </c>
      <c r="C49" s="66" t="inlineStr">
        <is>
          <t>Wise Brasil</t>
        </is>
      </c>
      <c r="D49" s="66" t="inlineStr">
        <is>
          <t>Interactive Brokers</t>
        </is>
      </c>
      <c r="E49" s="79" t="n">
        <v>7454.1</v>
      </c>
      <c r="F49" s="67" t="n">
        <v>38396.86</v>
      </c>
      <c r="G49" s="66" t="inlineStr">
        <is>
          <t>USD</t>
        </is>
      </c>
      <c r="H49" s="66" t="inlineStr">
        <is>
          <t>IB Deposit</t>
        </is>
      </c>
      <c r="I49" s="68" t="n">
        <v>5.151</v>
      </c>
      <c r="J49" s="66" t="inlineStr">
        <is>
          <t>91992 IB via Wise</t>
        </is>
      </c>
    </row>
    <row r="50">
      <c r="B50" s="190" t="n">
        <v>46199</v>
      </c>
      <c r="C50" s="70" t="inlineStr">
        <is>
          <t>Wise Brasil</t>
        </is>
      </c>
      <c r="D50" s="70" t="inlineStr">
        <is>
          <t>Interactive Brokers</t>
        </is>
      </c>
      <c r="E50" s="80" t="n">
        <v>3834.82</v>
      </c>
      <c r="F50" s="71" t="n">
        <v>19195.81</v>
      </c>
      <c r="G50" s="70" t="inlineStr">
        <is>
          <t>USD</t>
        </is>
      </c>
      <c r="H50" s="70" t="inlineStr">
        <is>
          <t>IB Withdraw</t>
        </is>
      </c>
      <c r="I50" s="72" t="n">
        <v>5.1783</v>
      </c>
      <c r="J50" s="70" t="inlineStr">
        <is>
          <t>91992 IB withdrawal via Wise</t>
        </is>
      </c>
    </row>
    <row r="51">
      <c r="B51" s="189" t="n">
        <v>45531</v>
      </c>
      <c r="C51" s="66" t="inlineStr">
        <is>
          <t>Daycoval</t>
        </is>
      </c>
      <c r="D51" s="66" t="inlineStr">
        <is>
          <t>Switzerland Travel</t>
        </is>
      </c>
      <c r="E51" s="79" t="n">
        <v>800</v>
      </c>
      <c r="F51" s="74" t="n">
        <v>5618.2</v>
      </c>
      <c r="G51" s="66" t="inlineStr">
        <is>
          <t>CHF</t>
        </is>
      </c>
      <c r="H51" s="66" t="inlineStr">
        <is>
          <t>Travel FX</t>
        </is>
      </c>
      <c r="I51" s="68" t="n">
        <v>7.0228</v>
      </c>
      <c r="J51" s="66" t="inlineStr">
        <is>
          <t>32999 Travel</t>
        </is>
      </c>
    </row>
    <row r="52">
      <c r="B52" s="190" t="n">
        <v>45531</v>
      </c>
      <c r="C52" s="70" t="inlineStr">
        <is>
          <t>Daycoval</t>
        </is>
      </c>
      <c r="D52" s="70" t="inlineStr">
        <is>
          <t>USA Travel</t>
        </is>
      </c>
      <c r="E52" s="80" t="n">
        <v>2000</v>
      </c>
      <c r="F52" s="73" t="n">
        <v>11473.79</v>
      </c>
      <c r="G52" s="70" t="inlineStr">
        <is>
          <t>USD</t>
        </is>
      </c>
      <c r="H52" s="70" t="inlineStr">
        <is>
          <t>Travel FX</t>
        </is>
      </c>
      <c r="I52" s="72" t="n">
        <v>5.7369</v>
      </c>
      <c r="J52" s="70" t="inlineStr">
        <is>
          <t>32999 Travel</t>
        </is>
      </c>
    </row>
    <row r="53">
      <c r="B53" s="189" t="n">
        <v>45615</v>
      </c>
      <c r="C53" s="66" t="inlineStr">
        <is>
          <t>Daycoval</t>
        </is>
      </c>
      <c r="D53" s="66" t="inlineStr">
        <is>
          <t>Switzerland Travel</t>
        </is>
      </c>
      <c r="E53" s="79" t="n">
        <v>1500</v>
      </c>
      <c r="F53" s="74" t="n">
        <v>10534.12</v>
      </c>
      <c r="G53" s="66" t="inlineStr">
        <is>
          <t>CHF</t>
        </is>
      </c>
      <c r="H53" s="66" t="inlineStr">
        <is>
          <t>Travel FX</t>
        </is>
      </c>
      <c r="I53" s="68" t="n">
        <v>7.0228</v>
      </c>
      <c r="J53" s="66" t="inlineStr">
        <is>
          <t>32999 Travel</t>
        </is>
      </c>
    </row>
  </sheetData>
  <autoFilter ref="B18:J53"/>
  <mergeCells count="12">
    <mergeCell ref="F4:G4"/>
    <mergeCell ref="B7:J7"/>
    <mergeCell ref="B3:J3"/>
    <mergeCell ref="B5:C5"/>
    <mergeCell ref="F5:G5"/>
    <mergeCell ref="D5:E5"/>
    <mergeCell ref="B17:J17"/>
    <mergeCell ref="B1:J1"/>
    <mergeCell ref="D4:E4"/>
    <mergeCell ref="H5:I5"/>
    <mergeCell ref="H4:I4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84C"/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18" customWidth="1" min="4" max="4"/>
    <col width="14" customWidth="1" min="5" max="5"/>
    <col width="14" customWidth="1" min="6" max="6"/>
    <col width="30" customWidth="1" min="7" max="7"/>
  </cols>
  <sheetData>
    <row r="1" ht="30" customHeight="1">
      <c r="B1" s="27" t="inlineStr">
        <is>
          <t xml:space="preserve">  PORTFOLIO  ·  Investment Deployment  ·  Interactive Brokers + Fundos BRL</t>
        </is>
      </c>
      <c r="C1" s="4" t="n"/>
      <c r="D1" s="4" t="n"/>
      <c r="E1" s="4" t="n"/>
      <c r="F1" s="5" t="n"/>
    </row>
    <row r="3" ht="16" customHeight="1">
      <c r="B3" s="28" t="inlineStr">
        <is>
          <t xml:space="preserve">  INTERACTIVE BROKERS — DEPOSIT TIMELINE</t>
        </is>
      </c>
      <c r="C3" s="29" t="n"/>
      <c r="D3" s="29" t="n"/>
      <c r="E3" s="29" t="n"/>
      <c r="F3" s="30" t="n"/>
    </row>
    <row r="4" ht="18" customHeight="1">
      <c r="B4" s="11" t="inlineStr">
        <is>
          <t>Date</t>
        </is>
      </c>
      <c r="C4" s="11" t="inlineStr">
        <is>
          <t>Institution</t>
        </is>
      </c>
      <c r="D4" s="11" t="inlineStr">
        <is>
          <t>USD Amount</t>
        </is>
      </c>
      <c r="E4" s="11" t="inlineStr">
        <is>
          <t>BRL Cost</t>
        </is>
      </c>
      <c r="F4" s="11" t="inlineStr">
        <is>
          <t>FX Rate</t>
        </is>
      </c>
      <c r="G4" s="11" t="inlineStr">
        <is>
          <t>Notes</t>
        </is>
      </c>
    </row>
    <row r="5">
      <c r="B5" s="188" t="n">
        <v>46048</v>
      </c>
      <c r="C5" s="32" t="inlineStr">
        <is>
          <t>Banco Topázio</t>
        </is>
      </c>
      <c r="D5" s="33" t="n">
        <v>200</v>
      </c>
      <c r="E5" s="33" t="n">
        <v>1071.22</v>
      </c>
      <c r="F5" s="49" t="n">
        <v>5.3561</v>
      </c>
      <c r="G5" s="32" t="inlineStr">
        <is>
          <t>91992 IB deposit</t>
        </is>
      </c>
    </row>
    <row r="6">
      <c r="B6" s="187" t="n">
        <v>46142</v>
      </c>
      <c r="C6" s="35" t="inlineStr">
        <is>
          <t>Banco Topázio</t>
        </is>
      </c>
      <c r="D6" s="36" t="n">
        <v>100</v>
      </c>
      <c r="E6" s="36" t="n">
        <v>503.62</v>
      </c>
      <c r="F6" s="46" t="n">
        <v>5.0362</v>
      </c>
      <c r="G6" s="35" t="inlineStr">
        <is>
          <t>91992 IB deposit</t>
        </is>
      </c>
    </row>
    <row r="7">
      <c r="B7" s="188" t="n">
        <v>46160</v>
      </c>
      <c r="C7" s="32" t="inlineStr">
        <is>
          <t>Wise Brasil</t>
        </is>
      </c>
      <c r="D7" s="33" t="n">
        <v>3834.82</v>
      </c>
      <c r="E7" s="33" t="n">
        <v>19195.81</v>
      </c>
      <c r="F7" s="49" t="n">
        <v>5.0056</v>
      </c>
      <c r="G7" s="32" t="inlineStr">
        <is>
          <t>91992 IB via Wise</t>
        </is>
      </c>
    </row>
    <row r="8">
      <c r="B8" s="187" t="n">
        <v>46161</v>
      </c>
      <c r="C8" s="35" t="inlineStr">
        <is>
          <t>Banco Topázio</t>
        </is>
      </c>
      <c r="D8" s="36" t="n">
        <v>1000</v>
      </c>
      <c r="E8" s="36" t="n">
        <v>5114.85</v>
      </c>
      <c r="F8" s="46" t="n">
        <v>5.1149</v>
      </c>
      <c r="G8" s="35" t="inlineStr">
        <is>
          <t>91992 IB deposit</t>
        </is>
      </c>
    </row>
    <row r="9">
      <c r="B9" s="188" t="n">
        <v>46162</v>
      </c>
      <c r="C9" s="32" t="inlineStr">
        <is>
          <t>Banco Topázio</t>
        </is>
      </c>
      <c r="D9" s="33" t="n">
        <v>6212.32</v>
      </c>
      <c r="E9" s="33" t="n">
        <v>31651.83</v>
      </c>
      <c r="F9" s="49" t="n">
        <v>5.0949</v>
      </c>
      <c r="G9" s="32" t="inlineStr">
        <is>
          <t>91992 IB deposit</t>
        </is>
      </c>
    </row>
    <row r="10">
      <c r="B10" s="187" t="n">
        <v>46170</v>
      </c>
      <c r="C10" s="35" t="inlineStr">
        <is>
          <t>Banco Topázio</t>
        </is>
      </c>
      <c r="D10" s="36" t="n">
        <v>20000</v>
      </c>
      <c r="E10" s="36" t="n">
        <v>101772.38</v>
      </c>
      <c r="F10" s="46" t="n">
        <v>5.0886</v>
      </c>
      <c r="G10" s="35" t="inlineStr">
        <is>
          <t>91992 IB deposit</t>
        </is>
      </c>
    </row>
    <row r="11">
      <c r="B11" s="188" t="n">
        <v>46195</v>
      </c>
      <c r="C11" s="32" t="inlineStr">
        <is>
          <t>Wise Brasil</t>
        </is>
      </c>
      <c r="D11" s="33" t="n">
        <v>7454.1</v>
      </c>
      <c r="E11" s="33" t="n">
        <v>38396.86</v>
      </c>
      <c r="F11" s="49" t="n">
        <v>5.151</v>
      </c>
      <c r="G11" s="32" t="inlineStr">
        <is>
          <t>91992 IB via Wise</t>
        </is>
      </c>
    </row>
    <row r="12">
      <c r="B12" s="187" t="n">
        <v>46199</v>
      </c>
      <c r="C12" s="35" t="inlineStr">
        <is>
          <t>Wise Brasil</t>
        </is>
      </c>
      <c r="D12" s="36" t="n">
        <v>3834.82</v>
      </c>
      <c r="E12" s="36" t="n">
        <v>19195.81</v>
      </c>
      <c r="F12" s="46" t="n">
        <v>5.1783</v>
      </c>
      <c r="G12" s="35" t="inlineStr">
        <is>
          <t>91992 IB withdrawal via Wise</t>
        </is>
      </c>
    </row>
    <row r="13" ht="16" customHeight="1">
      <c r="B13" s="37" t="inlineStr">
        <is>
          <t xml:space="preserve">  IB TOTAL  →  USD 42,636.06  ·  R$ 216,902.38</t>
        </is>
      </c>
      <c r="C13" s="38" t="n"/>
      <c r="D13" s="38" t="n"/>
      <c r="E13" s="38" t="n"/>
      <c r="F13" s="39" t="n"/>
    </row>
    <row r="15" ht="16" customHeight="1">
      <c r="B15" s="28" t="inlineStr">
        <is>
          <t xml:space="preserve">  FUNDOS BRL — CAPITAL DEPLOYMENTS</t>
        </is>
      </c>
      <c r="C15" s="29" t="n"/>
      <c r="D15" s="29" t="n"/>
      <c r="E15" s="29" t="n"/>
      <c r="F15" s="30" t="n"/>
    </row>
    <row r="16" ht="18" customHeight="1">
      <c r="B16" s="11" t="inlineStr">
        <is>
          <t>Date</t>
        </is>
      </c>
      <c r="C16" s="11" t="inlineStr">
        <is>
          <t>Institution</t>
        </is>
      </c>
      <c r="D16" s="11" t="inlineStr">
        <is>
          <t>Destination</t>
        </is>
      </c>
      <c r="E16" s="11" t="inlineStr">
        <is>
          <t>BRL Deployed</t>
        </is>
      </c>
      <c r="F16" s="11" t="inlineStr">
        <is>
          <t>CCY</t>
        </is>
      </c>
      <c r="G16" s="11" t="inlineStr">
        <is>
          <t>Notes</t>
        </is>
      </c>
    </row>
    <row r="17">
      <c r="B17" s="188" t="n">
        <v>46164</v>
      </c>
      <c r="C17" s="32" t="inlineStr">
        <is>
          <t>Banco Topázio</t>
        </is>
      </c>
      <c r="D17" s="32" t="inlineStr">
        <is>
          <t>Fundos investimento BRL</t>
        </is>
      </c>
      <c r="E17" s="33" t="n">
        <v>45000</v>
      </c>
      <c r="F17" s="32" t="inlineStr">
        <is>
          <t>BRL</t>
        </is>
      </c>
      <c r="G17" s="32" t="inlineStr">
        <is>
          <t>67043 Fund capital</t>
        </is>
      </c>
    </row>
    <row r="18">
      <c r="B18" s="187" t="n">
        <v>46178</v>
      </c>
      <c r="C18" s="35" t="inlineStr">
        <is>
          <t>Banco Topázio</t>
        </is>
      </c>
      <c r="D18" s="35" t="inlineStr">
        <is>
          <t>Fundos investimento BRL</t>
        </is>
      </c>
      <c r="E18" s="36" t="n">
        <v>78323.92</v>
      </c>
      <c r="F18" s="35" t="inlineStr">
        <is>
          <t>BRL</t>
        </is>
      </c>
      <c r="G18" s="35" t="inlineStr">
        <is>
          <t>67043 Fund capital</t>
        </is>
      </c>
    </row>
    <row r="19">
      <c r="B19" s="188" t="n">
        <v>46192</v>
      </c>
      <c r="C19" s="32" t="inlineStr">
        <is>
          <t>Banco Topázio</t>
        </is>
      </c>
      <c r="D19" s="32" t="inlineStr">
        <is>
          <t>Fundos investimento BRL</t>
        </is>
      </c>
      <c r="E19" s="33" t="n">
        <v>52441.91</v>
      </c>
      <c r="F19" s="32" t="inlineStr">
        <is>
          <t>BRL</t>
        </is>
      </c>
      <c r="G19" s="32" t="inlineStr">
        <is>
          <t>67043 Fund capital</t>
        </is>
      </c>
    </row>
    <row r="20" ht="16" customHeight="1">
      <c r="B20" s="37" t="inlineStr">
        <is>
          <t xml:space="preserve">  FUNDS TOTAL  →  R$ 175,765.83</t>
        </is>
      </c>
      <c r="C20" s="38" t="n"/>
      <c r="D20" s="38" t="n"/>
      <c r="E20" s="38" t="n"/>
      <c r="F20" s="39" t="n"/>
    </row>
    <row r="21" ht="20" customHeight="1">
      <c r="B21" s="3" t="inlineStr">
        <is>
          <t xml:space="preserve">  COMBINED DEPLOYMENT  →  R$ 373,472.40  (IB + Funds)</t>
        </is>
      </c>
      <c r="C21" s="4" t="n"/>
      <c r="D21" s="4" t="n"/>
      <c r="E21" s="4" t="n"/>
      <c r="F21" s="5" t="n"/>
    </row>
  </sheetData>
  <mergeCells count="6">
    <mergeCell ref="B21:F21"/>
    <mergeCell ref="B20:F20"/>
    <mergeCell ref="B15:F15"/>
    <mergeCell ref="B3:F3"/>
    <mergeCell ref="B1:F1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1A1A"/>
    <outlinePr summaryBelow="1" summaryRight="1"/>
    <pageSetUpPr/>
  </sheetPr>
  <dimension ref="B1:G10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6" customWidth="1" min="3" max="3"/>
    <col width="16" customWidth="1" min="4" max="4"/>
    <col width="14" customWidth="1" min="5" max="5"/>
    <col width="12" customWidth="1" min="6" max="6"/>
    <col width="10" customWidth="1" min="7" max="7"/>
    <col width="20" customWidth="1" min="8" max="8"/>
  </cols>
  <sheetData>
    <row r="1" ht="30" customHeight="1">
      <c r="B1" s="27" t="inlineStr">
        <is>
          <t xml:space="preserve">  LIFESTYLE &amp; BURN RATE  ·  Card + ML + iFood  ·  Jan–Jun 2026</t>
        </is>
      </c>
      <c r="C1" s="4" t="n"/>
      <c r="D1" s="4" t="n"/>
      <c r="E1" s="4" t="n"/>
      <c r="F1" s="4" t="n"/>
      <c r="G1" s="5" t="n"/>
    </row>
    <row r="3" ht="16" customHeight="1">
      <c r="B3" s="6" t="inlineStr">
        <is>
          <t>CARD SPEND</t>
        </is>
      </c>
      <c r="C3" s="7" t="n"/>
      <c r="D3" s="6" t="inlineStr">
        <is>
          <t>AVG/MONTH</t>
        </is>
      </c>
      <c r="E3" s="7" t="n"/>
      <c r="F3" s="6" t="inlineStr">
        <is>
          <t>ML+iFOOD</t>
        </is>
      </c>
      <c r="G3" s="7" t="n"/>
    </row>
    <row r="4" ht="30" customHeight="1">
      <c r="B4" s="8" t="n">
        <v>37245.76</v>
      </c>
      <c r="C4" s="7" t="n"/>
      <c r="D4" s="8" t="n">
        <v>6207.626666666667</v>
      </c>
      <c r="E4" s="7" t="n"/>
      <c r="F4" s="8" t="n">
        <v>27488.73</v>
      </c>
      <c r="G4" s="7" t="n"/>
    </row>
    <row r="6" ht="8" customHeight="1"/>
    <row r="7" ht="16" customHeight="1">
      <c r="B7" s="28" t="inlineStr">
        <is>
          <t xml:space="preserve">  CARD SPEND BY CATEGORY</t>
        </is>
      </c>
      <c r="C7" s="29" t="n"/>
      <c r="D7" s="29" t="n"/>
      <c r="E7" s="29" t="n"/>
      <c r="F7" s="29" t="n"/>
      <c r="G7" s="30" t="n"/>
    </row>
    <row r="8" ht="18" customHeight="1">
      <c r="B8" s="11" t="inlineStr">
        <is>
          <t>Category</t>
        </is>
      </c>
      <c r="C8" s="11" t="inlineStr">
        <is>
          <t>Total (R$)</t>
        </is>
      </c>
      <c r="D8" s="11" t="inlineStr">
        <is>
          <t>% of Card</t>
        </is>
      </c>
      <c r="E8" s="11" t="inlineStr">
        <is>
          <t>Avg/Month</t>
        </is>
      </c>
      <c r="F8" s="11" t="inlineStr">
        <is>
          <t>Txs</t>
        </is>
      </c>
      <c r="G8" s="11" t="inlineStr">
        <is>
          <t>Classification</t>
        </is>
      </c>
    </row>
    <row r="9">
      <c r="B9" s="31" t="inlineStr">
        <is>
          <t>Viagem</t>
        </is>
      </c>
      <c r="C9" s="33" t="n">
        <v>9036.83</v>
      </c>
      <c r="D9" s="191" t="n">
        <v>0.242627080236784</v>
      </c>
      <c r="E9" s="33" t="n">
        <v>1506.138333333333</v>
      </c>
      <c r="F9" s="48" t="n">
        <v>1</v>
      </c>
      <c r="G9" s="32" t="inlineStr">
        <is>
          <t>💡 Discretionary</t>
        </is>
      </c>
    </row>
    <row r="10">
      <c r="B10" s="34" t="inlineStr">
        <is>
          <t>Compras/ML</t>
        </is>
      </c>
      <c r="C10" s="36" t="n">
        <v>8744.679999999998</v>
      </c>
      <c r="D10" s="192" t="n">
        <v>0.2347832343869476</v>
      </c>
      <c r="E10" s="36" t="n">
        <v>1457.446666666666</v>
      </c>
      <c r="F10" s="45" t="n">
        <v>9</v>
      </c>
      <c r="G10" s="35" t="inlineStr">
        <is>
          <t>💡 Discretionary</t>
        </is>
      </c>
    </row>
    <row r="11">
      <c r="B11" s="31" t="inlineStr">
        <is>
          <t>IA/Tecnologia</t>
        </is>
      </c>
      <c r="C11" s="33" t="n">
        <v>6624.360000000001</v>
      </c>
      <c r="D11" s="191" t="n">
        <v>0.1778554122670608</v>
      </c>
      <c r="E11" s="33" t="n">
        <v>1104.06</v>
      </c>
      <c r="F11" s="48" t="n">
        <v>37</v>
      </c>
      <c r="G11" s="32" t="inlineStr">
        <is>
          <t>⚠ Review</t>
        </is>
      </c>
    </row>
    <row r="12">
      <c r="B12" s="83" t="inlineStr">
        <is>
          <t>Loteria</t>
        </is>
      </c>
      <c r="C12" s="84" t="n">
        <v>6455.1</v>
      </c>
      <c r="D12" s="193" t="n">
        <v>0.1733110023798682</v>
      </c>
      <c r="E12" s="84" t="n">
        <v>1075.85</v>
      </c>
      <c r="F12" s="86" t="n">
        <v>39</v>
      </c>
      <c r="G12" s="87" t="inlineStr">
        <is>
          <t>⚠ Review</t>
        </is>
      </c>
    </row>
    <row r="13">
      <c r="B13" s="31" t="inlineStr">
        <is>
          <t>Outros</t>
        </is>
      </c>
      <c r="C13" s="33" t="n">
        <v>2235.58</v>
      </c>
      <c r="D13" s="191" t="n">
        <v>0.06002240254998152</v>
      </c>
      <c r="E13" s="33" t="n">
        <v>372.5966666666666</v>
      </c>
      <c r="F13" s="48" t="n">
        <v>9</v>
      </c>
      <c r="G13" s="32" t="inlineStr">
        <is>
          <t>💡 Discretionary</t>
        </is>
      </c>
    </row>
    <row r="14">
      <c r="B14" s="34" t="inlineStr">
        <is>
          <t>Internet</t>
        </is>
      </c>
      <c r="C14" s="36" t="n">
        <v>1413.12</v>
      </c>
      <c r="D14" s="192" t="n">
        <v>0.03794042597063398</v>
      </c>
      <c r="E14" s="36" t="n">
        <v>235.52</v>
      </c>
      <c r="F14" s="45" t="n">
        <v>6</v>
      </c>
      <c r="G14" s="35" t="inlineStr">
        <is>
          <t>✅ Essential</t>
        </is>
      </c>
    </row>
    <row r="15">
      <c r="B15" s="31" t="inlineStr">
        <is>
          <t>Assinatura</t>
        </is>
      </c>
      <c r="C15" s="33" t="n">
        <v>1227.5</v>
      </c>
      <c r="D15" s="191" t="n">
        <v>0.03295677145532807</v>
      </c>
      <c r="E15" s="33" t="n">
        <v>204.5833333333333</v>
      </c>
      <c r="F15" s="48" t="n">
        <v>19</v>
      </c>
      <c r="G15" s="32" t="inlineStr">
        <is>
          <t>💡 Discretionary</t>
        </is>
      </c>
    </row>
    <row r="16">
      <c r="B16" s="34" t="inlineStr">
        <is>
          <t>Delivery/iFood</t>
        </is>
      </c>
      <c r="C16" s="36" t="n">
        <v>1217.92</v>
      </c>
      <c r="D16" s="192" t="n">
        <v>0.03269956097016143</v>
      </c>
      <c r="E16" s="36" t="n">
        <v>202.9866666666667</v>
      </c>
      <c r="F16" s="45" t="n">
        <v>14</v>
      </c>
      <c r="G16" s="35" t="inlineStr">
        <is>
          <t>✅ Essential</t>
        </is>
      </c>
    </row>
    <row r="17">
      <c r="B17" s="31" t="inlineStr">
        <is>
          <t>Transporte</t>
        </is>
      </c>
      <c r="C17" s="33" t="n">
        <v>205.34</v>
      </c>
      <c r="D17" s="191" t="n">
        <v>0.005513110754083149</v>
      </c>
      <c r="E17" s="33" t="n">
        <v>34.22333333333334</v>
      </c>
      <c r="F17" s="48" t="n">
        <v>10</v>
      </c>
      <c r="G17" s="32" t="inlineStr">
        <is>
          <t>💡 Discretionary</t>
        </is>
      </c>
    </row>
    <row r="18">
      <c r="B18" s="34" t="inlineStr">
        <is>
          <t>Telecomunicações</t>
        </is>
      </c>
      <c r="C18" s="36" t="n">
        <v>74.43000000000001</v>
      </c>
      <c r="D18" s="192" t="n">
        <v>0.001998348268366654</v>
      </c>
      <c r="E18" s="36" t="n">
        <v>12.405</v>
      </c>
      <c r="F18" s="45" t="n">
        <v>1</v>
      </c>
      <c r="G18" s="35" t="inlineStr">
        <is>
          <t>✅ Essential</t>
        </is>
      </c>
    </row>
    <row r="19">
      <c r="B19" s="31" t="inlineStr">
        <is>
          <t>Digital</t>
        </is>
      </c>
      <c r="C19" s="33" t="n">
        <v>10.9</v>
      </c>
      <c r="D19" s="191" t="n">
        <v>0.0002926507607845833</v>
      </c>
      <c r="E19" s="33" t="n">
        <v>1.816666666666667</v>
      </c>
      <c r="F19" s="48" t="n">
        <v>1</v>
      </c>
      <c r="G19" s="32" t="inlineStr">
        <is>
          <t>💡 Discretionary</t>
        </is>
      </c>
    </row>
    <row r="22" ht="16" customHeight="1">
      <c r="B22" s="28" t="inlineStr">
        <is>
          <t xml:space="preserve">  MONTHLY CARD SPEND</t>
        </is>
      </c>
      <c r="C22" s="29" t="n"/>
      <c r="D22" s="29" t="n"/>
      <c r="E22" s="29" t="n"/>
      <c r="F22" s="29" t="n"/>
      <c r="G22" s="30" t="n"/>
    </row>
    <row r="23" ht="18" customHeight="1">
      <c r="B23" s="11" t="inlineStr">
        <is>
          <t>Month</t>
        </is>
      </c>
      <c r="C23" s="11" t="inlineStr">
        <is>
          <t>Card Spend</t>
        </is>
      </c>
      <c r="D23" s="11" t="inlineStr">
        <is>
          <t>Txs</t>
        </is>
      </c>
      <c r="E23" s="11" t="inlineStr">
        <is>
          <t>vs Avg</t>
        </is>
      </c>
      <c r="F23" s="11" t="inlineStr">
        <is>
          <t>vs Prior</t>
        </is>
      </c>
      <c r="G23" s="11" t="inlineStr">
        <is>
          <t>Notes</t>
        </is>
      </c>
    </row>
    <row r="24">
      <c r="B24" s="35" t="inlineStr">
        <is>
          <t>2026-01</t>
        </is>
      </c>
      <c r="C24" s="36" t="n">
        <v>3745.4</v>
      </c>
      <c r="D24" s="45" t="n">
        <v>18</v>
      </c>
      <c r="E24" s="88" t="n">
        <v>-2462.226666666667</v>
      </c>
      <c r="F24" s="36" t="n">
        <v>0</v>
      </c>
      <c r="G24" s="35" t="inlineStr"/>
    </row>
    <row r="25">
      <c r="B25" s="32" t="inlineStr">
        <is>
          <t>2026-02</t>
        </is>
      </c>
      <c r="C25" s="33" t="n">
        <v>9515.9</v>
      </c>
      <c r="D25" s="48" t="n">
        <v>21</v>
      </c>
      <c r="E25" s="89" t="n">
        <v>3308.273333333333</v>
      </c>
      <c r="F25" s="89" t="n">
        <v>5770.5</v>
      </c>
      <c r="G25" s="32" t="inlineStr"/>
    </row>
    <row r="26">
      <c r="B26" s="35" t="inlineStr">
        <is>
          <t>2026-03</t>
        </is>
      </c>
      <c r="C26" s="36" t="n">
        <v>14231.47</v>
      </c>
      <c r="D26" s="45" t="n">
        <v>32</v>
      </c>
      <c r="E26" s="40" t="n">
        <v>8023.843333333334</v>
      </c>
      <c r="F26" s="40" t="n">
        <v>4715.570000000002</v>
      </c>
      <c r="G26" s="35" t="inlineStr"/>
    </row>
    <row r="27">
      <c r="B27" s="32" t="inlineStr">
        <is>
          <t>2026-04</t>
        </is>
      </c>
      <c r="C27" s="33" t="n">
        <v>5330.44</v>
      </c>
      <c r="D27" s="48" t="n">
        <v>33</v>
      </c>
      <c r="E27" s="90" t="n">
        <v>-877.1866666666674</v>
      </c>
      <c r="F27" s="90" t="n">
        <v>-8901.030000000002</v>
      </c>
      <c r="G27" s="32" t="inlineStr"/>
    </row>
    <row r="28">
      <c r="B28" s="35" t="inlineStr">
        <is>
          <t>2026-05</t>
        </is>
      </c>
      <c r="C28" s="36" t="n">
        <v>3308.38</v>
      </c>
      <c r="D28" s="45" t="n">
        <v>29</v>
      </c>
      <c r="E28" s="88" t="n">
        <v>-2899.246666666667</v>
      </c>
      <c r="F28" s="88" t="n">
        <v>-2022.059999999999</v>
      </c>
      <c r="G28" s="35" t="inlineStr"/>
    </row>
    <row r="29">
      <c r="B29" s="32" t="inlineStr">
        <is>
          <t>2026-06</t>
        </is>
      </c>
      <c r="C29" s="33" t="n">
        <v>1114.17</v>
      </c>
      <c r="D29" s="48" t="n">
        <v>13</v>
      </c>
      <c r="E29" s="90" t="n">
        <v>-5093.456666666667</v>
      </c>
      <c r="F29" s="90" t="n">
        <v>-2194.21</v>
      </c>
      <c r="G29" s="32" t="inlineStr"/>
    </row>
    <row r="32" ht="16" customHeight="1">
      <c r="B32" s="28" t="inlineStr">
        <is>
          <t xml:space="preserve">  MERCADO LIVRE + iFOOD ORDERS</t>
        </is>
      </c>
      <c r="C32" s="29" t="n"/>
      <c r="D32" s="29" t="n"/>
      <c r="E32" s="29" t="n"/>
      <c r="F32" s="29" t="n"/>
      <c r="G32" s="30" t="n"/>
    </row>
    <row r="33" ht="18" customHeight="1">
      <c r="B33" s="11" t="inlineStr">
        <is>
          <t>Date</t>
        </is>
      </c>
      <c r="C33" s="11" t="inlineStr">
        <is>
          <t>Platform</t>
        </is>
      </c>
      <c r="D33" s="11" t="inlineStr">
        <is>
          <t>Item</t>
        </is>
      </c>
      <c r="E33" s="11" t="inlineStr">
        <is>
          <t>Amount</t>
        </is>
      </c>
      <c r="F33" s="11" t="inlineStr">
        <is>
          <t>Category</t>
        </is>
      </c>
      <c r="G33" s="11" t="inlineStr">
        <is>
          <t>Status</t>
        </is>
      </c>
    </row>
    <row r="34">
      <c r="B34" s="70" t="inlineStr">
        <is>
          <t>2026-06-16</t>
        </is>
      </c>
      <c r="C34" s="70" t="inlineStr">
        <is>
          <t>Mercado Livre</t>
        </is>
      </c>
      <c r="D34" s="70" t="inlineStr">
        <is>
          <t>Suporte Monitor Articulado Portátil Dobrável</t>
        </is>
      </c>
      <c r="E34" s="80" t="n">
        <v>144</v>
      </c>
      <c r="F34" s="70" t="inlineStr">
        <is>
          <t>Home Office</t>
        </is>
      </c>
      <c r="G34" s="70" t="inlineStr">
        <is>
          <t>delivered</t>
        </is>
      </c>
    </row>
    <row r="35">
      <c r="B35" s="66" t="inlineStr">
        <is>
          <t>2026-06-08</t>
        </is>
      </c>
      <c r="C35" s="66" t="inlineStr">
        <is>
          <t>Mercado Livre</t>
        </is>
      </c>
      <c r="D35" s="66" t="inlineStr">
        <is>
          <t>Filtro De Ar Descartável Cpap Airmini Resmed</t>
        </is>
      </c>
      <c r="E35" s="79" t="n">
        <v>41.65</v>
      </c>
      <c r="F35" s="66" t="inlineStr">
        <is>
          <t>Saúde/CPAP</t>
        </is>
      </c>
      <c r="G35" s="66" t="inlineStr">
        <is>
          <t>delivered</t>
        </is>
      </c>
    </row>
    <row r="36">
      <c r="B36" s="70" t="inlineStr">
        <is>
          <t>2026-06-03</t>
        </is>
      </c>
      <c r="C36" s="70" t="inlineStr">
        <is>
          <t>Mercado Livre</t>
        </is>
      </c>
      <c r="D36" s="70" t="inlineStr">
        <is>
          <t>Máscara Nasal Resmed Airfit N30i Apneia</t>
        </is>
      </c>
      <c r="E36" s="80" t="n">
        <v>480</v>
      </c>
      <c r="F36" s="70" t="inlineStr">
        <is>
          <t>Saúde/CPAP</t>
        </is>
      </c>
      <c r="G36" s="70" t="inlineStr">
        <is>
          <t>delivered</t>
        </is>
      </c>
    </row>
    <row r="37">
      <c r="B37" s="66" t="inlineStr">
        <is>
          <t>2026-06-01</t>
        </is>
      </c>
      <c r="C37" s="66" t="inlineStr">
        <is>
          <t>Mercado Livre</t>
        </is>
      </c>
      <c r="D37" s="66" t="inlineStr">
        <is>
          <t>Macaco Hidráulico Tipo Jacaré 2ton Portátil</t>
        </is>
      </c>
      <c r="E37" s="79" t="n">
        <v>249.99</v>
      </c>
      <c r="F37" s="66" t="inlineStr">
        <is>
          <t>Ferramentas</t>
        </is>
      </c>
      <c r="G37" s="66" t="inlineStr">
        <is>
          <t>delivered</t>
        </is>
      </c>
    </row>
    <row r="38">
      <c r="B38" s="70" t="inlineStr">
        <is>
          <t>2026-05-30</t>
        </is>
      </c>
      <c r="C38" s="70" t="inlineStr">
        <is>
          <t>iFood</t>
        </is>
      </c>
      <c r="D38" s="70" t="inlineStr">
        <is>
          <t>Pipa Sushi &amp; Temakeria – 1x Monte Seu Poke</t>
        </is>
      </c>
      <c r="E38" s="80" t="n">
        <v>90.29000000000001</v>
      </c>
      <c r="F38" s="70" t="inlineStr">
        <is>
          <t>Delivery/Sushi</t>
        </is>
      </c>
      <c r="G38" s="70" t="inlineStr">
        <is>
          <t>delivered</t>
        </is>
      </c>
    </row>
    <row r="39">
      <c r="B39" s="66" t="inlineStr">
        <is>
          <t>2026-05-18</t>
        </is>
      </c>
      <c r="C39" s="66" t="inlineStr">
        <is>
          <t>iFood</t>
        </is>
      </c>
      <c r="D39" s="66" t="inlineStr">
        <is>
          <t>Pipa Sushi &amp; Temakeria – 1x Monte Seu Poke</t>
        </is>
      </c>
      <c r="E39" s="79" t="n">
        <v>67.31</v>
      </c>
      <c r="F39" s="66" t="inlineStr">
        <is>
          <t>Delivery/Sushi</t>
        </is>
      </c>
      <c r="G39" s="66" t="inlineStr">
        <is>
          <t>delivered</t>
        </is>
      </c>
    </row>
    <row r="40">
      <c r="B40" s="70" t="inlineStr">
        <is>
          <t>2026-05-16</t>
        </is>
      </c>
      <c r="C40" s="70" t="inlineStr">
        <is>
          <t>iFood</t>
        </is>
      </c>
      <c r="D40" s="70" t="inlineStr">
        <is>
          <t>Maria Baunilha Confeitaria – 1x Trio Maria Baunilha</t>
        </is>
      </c>
      <c r="E40" s="80" t="n">
        <v>73.03</v>
      </c>
      <c r="F40" s="70" t="inlineStr">
        <is>
          <t>Delivery/Confeitaria</t>
        </is>
      </c>
      <c r="G40" s="70" t="inlineStr">
        <is>
          <t>delivered</t>
        </is>
      </c>
    </row>
    <row r="41">
      <c r="B41" s="66" t="inlineStr">
        <is>
          <t>2026-05-11</t>
        </is>
      </c>
      <c r="C41" s="66" t="inlineStr">
        <is>
          <t>Mercado Livre</t>
        </is>
      </c>
      <c r="D41" s="66" t="inlineStr">
        <is>
          <t>Câmera Inteligente Im7 3mp De Resolução</t>
        </is>
      </c>
      <c r="E41" s="79" t="n">
        <v>429.9</v>
      </c>
      <c r="F41" s="66" t="inlineStr">
        <is>
          <t>Eletrônicos</t>
        </is>
      </c>
      <c r="G41" s="66" t="inlineStr">
        <is>
          <t>delivered</t>
        </is>
      </c>
    </row>
    <row r="42">
      <c r="B42" s="70" t="inlineStr">
        <is>
          <t>2026-05-11</t>
        </is>
      </c>
      <c r="C42" s="70" t="inlineStr">
        <is>
          <t>iFood</t>
        </is>
      </c>
      <c r="D42" s="70" t="inlineStr">
        <is>
          <t>iFood (taxa/pedido) – -</t>
        </is>
      </c>
      <c r="E42" s="80" t="n">
        <v>7.95</v>
      </c>
      <c r="F42" s="70" t="inlineStr">
        <is>
          <t>Delivery/Taxa</t>
        </is>
      </c>
      <c r="G42" s="70" t="inlineStr">
        <is>
          <t>delivered</t>
        </is>
      </c>
    </row>
    <row r="43">
      <c r="B43" s="66" t="inlineStr">
        <is>
          <t>2026-05-09</t>
        </is>
      </c>
      <c r="C43" s="66" t="inlineStr">
        <is>
          <t>Mercado Livre</t>
        </is>
      </c>
      <c r="D43" s="66" t="inlineStr">
        <is>
          <t>Sensor Presença Humana Radar Inteligente</t>
        </is>
      </c>
      <c r="E43" s="79" t="n">
        <v>379.98</v>
      </c>
      <c r="F43" s="66" t="inlineStr">
        <is>
          <t>Eletrônicos</t>
        </is>
      </c>
      <c r="G43" s="66" t="inlineStr">
        <is>
          <t>delivered</t>
        </is>
      </c>
    </row>
    <row r="44">
      <c r="B44" s="70" t="inlineStr">
        <is>
          <t>2026-05-03</t>
        </is>
      </c>
      <c r="C44" s="70" t="inlineStr">
        <is>
          <t>Mercado Livre</t>
        </is>
      </c>
      <c r="D44" s="70" t="inlineStr">
        <is>
          <t>Prateleira Estilo Industrial Suporte Em Madeira</t>
        </is>
      </c>
      <c r="E44" s="80" t="n">
        <v>132</v>
      </c>
      <c r="F44" s="70" t="inlineStr">
        <is>
          <t>Casa</t>
        </is>
      </c>
      <c r="G44" s="70" t="inlineStr">
        <is>
          <t>delivered</t>
        </is>
      </c>
    </row>
    <row r="45">
      <c r="B45" s="66" t="inlineStr">
        <is>
          <t>2026-05-02</t>
        </is>
      </c>
      <c r="C45" s="66" t="inlineStr">
        <is>
          <t>iFood</t>
        </is>
      </c>
      <c r="D45" s="66" t="inlineStr">
        <is>
          <t>Bianca Tolêdo Confeitaria – 1x Cake Moça e Morango + 1x Cake Cenoura</t>
        </is>
      </c>
      <c r="E45" s="82" t="n">
        <v>0</v>
      </c>
      <c r="F45" s="66" t="inlineStr">
        <is>
          <t>Delivery/Confeitaria</t>
        </is>
      </c>
      <c r="G45" s="66" t="inlineStr">
        <is>
          <t>delivered</t>
        </is>
      </c>
    </row>
    <row r="46">
      <c r="B46" s="70" t="inlineStr">
        <is>
          <t>2026-04-29</t>
        </is>
      </c>
      <c r="C46" s="70" t="inlineStr">
        <is>
          <t>Mercado Livre</t>
        </is>
      </c>
      <c r="D46" s="70" t="inlineStr">
        <is>
          <t>Relógio Parede Digital Grande Calendário</t>
        </is>
      </c>
      <c r="E46" s="80" t="n">
        <v>105.99</v>
      </c>
      <c r="F46" s="70" t="inlineStr">
        <is>
          <t>Casa</t>
        </is>
      </c>
      <c r="G46" s="70" t="inlineStr">
        <is>
          <t>delivered</t>
        </is>
      </c>
    </row>
    <row r="47">
      <c r="B47" s="66" t="inlineStr">
        <is>
          <t>2026-04-27</t>
        </is>
      </c>
      <c r="C47" s="66" t="inlineStr">
        <is>
          <t>Mercado Livre</t>
        </is>
      </c>
      <c r="D47" s="66" t="inlineStr">
        <is>
          <t>Álcool Isopropílico Quimivida 1l 99,8%</t>
        </is>
      </c>
      <c r="E47" s="79" t="n">
        <v>71.94</v>
      </c>
      <c r="F47" s="66" t="inlineStr">
        <is>
          <t>Higiene</t>
        </is>
      </c>
      <c r="G47" s="66" t="inlineStr">
        <is>
          <t>delivered</t>
        </is>
      </c>
    </row>
    <row r="48">
      <c r="B48" s="70" t="inlineStr">
        <is>
          <t>2026-04-27</t>
        </is>
      </c>
      <c r="C48" s="70" t="inlineStr">
        <is>
          <t>iFood</t>
        </is>
      </c>
      <c r="D48" s="70" t="inlineStr">
        <is>
          <t>Bianca Tolêdo Confeitaria – 1x Promoção: 2 Cake in box</t>
        </is>
      </c>
      <c r="E48" s="81" t="n">
        <v>0</v>
      </c>
      <c r="F48" s="70" t="inlineStr">
        <is>
          <t>Delivery/Confeitaria</t>
        </is>
      </c>
      <c r="G48" s="70" t="inlineStr">
        <is>
          <t>delivered</t>
        </is>
      </c>
    </row>
    <row r="49">
      <c r="B49" s="66" t="inlineStr">
        <is>
          <t>2026-04-22</t>
        </is>
      </c>
      <c r="C49" s="66" t="inlineStr">
        <is>
          <t>Mercado Livre</t>
        </is>
      </c>
      <c r="D49" s="66" t="inlineStr">
        <is>
          <t>Organizador De Fios E Cabos Baixo Mesa</t>
        </is>
      </c>
      <c r="E49" s="79" t="n">
        <v>36.9</v>
      </c>
      <c r="F49" s="66" t="inlineStr">
        <is>
          <t>Home Office</t>
        </is>
      </c>
      <c r="G49" s="66" t="inlineStr">
        <is>
          <t>delivered</t>
        </is>
      </c>
    </row>
    <row r="50">
      <c r="B50" s="70" t="inlineStr">
        <is>
          <t>2026-04-20</t>
        </is>
      </c>
      <c r="C50" s="70" t="inlineStr">
        <is>
          <t>iFood</t>
        </is>
      </c>
      <c r="D50" s="70" t="inlineStr">
        <is>
          <t>Jurassic Pizza - Bessa – 1x Combo 1 - Pizza G + Refri 1l</t>
        </is>
      </c>
      <c r="E50" s="80" t="n">
        <v>74.88</v>
      </c>
      <c r="F50" s="70" t="inlineStr">
        <is>
          <t>Delivery/Pizza</t>
        </is>
      </c>
      <c r="G50" s="70" t="inlineStr">
        <is>
          <t>delivered</t>
        </is>
      </c>
    </row>
    <row r="51">
      <c r="B51" s="66" t="inlineStr">
        <is>
          <t>2026-04-17</t>
        </is>
      </c>
      <c r="C51" s="66" t="inlineStr">
        <is>
          <t>Mercado Livre</t>
        </is>
      </c>
      <c r="D51" s="66" t="inlineStr">
        <is>
          <t>Kit Teste Ouro Pedra De Toque + Ácido 22k</t>
        </is>
      </c>
      <c r="E51" s="79" t="n">
        <v>69.90000000000001</v>
      </c>
      <c r="F51" s="66" t="inlineStr">
        <is>
          <t>Outros</t>
        </is>
      </c>
      <c r="G51" s="66" t="inlineStr">
        <is>
          <t>delivered</t>
        </is>
      </c>
    </row>
    <row r="52">
      <c r="B52" s="70" t="inlineStr">
        <is>
          <t>2026-04-16</t>
        </is>
      </c>
      <c r="C52" s="70" t="inlineStr">
        <is>
          <t>Mercado Livre</t>
        </is>
      </c>
      <c r="D52" s="70" t="inlineStr">
        <is>
          <t>For I 2 Dispositivo De Ronco Elétrico</t>
        </is>
      </c>
      <c r="E52" s="80" t="n">
        <v>62.25</v>
      </c>
      <c r="F52" s="70" t="inlineStr">
        <is>
          <t>Saúde/CPAP</t>
        </is>
      </c>
      <c r="G52" s="70" t="inlineStr">
        <is>
          <t>delivered</t>
        </is>
      </c>
    </row>
    <row r="53">
      <c r="B53" s="66" t="inlineStr">
        <is>
          <t>2026-04-12</t>
        </is>
      </c>
      <c r="C53" s="66" t="inlineStr">
        <is>
          <t>Mercado Livre</t>
        </is>
      </c>
      <c r="D53" s="66" t="inlineStr">
        <is>
          <t>Bravecto 4,5 A 10 Kg Antipulgas</t>
        </is>
      </c>
      <c r="E53" s="79" t="n">
        <v>162.9</v>
      </c>
      <c r="F53" s="66" t="inlineStr">
        <is>
          <t>Pet</t>
        </is>
      </c>
      <c r="G53" s="66" t="inlineStr">
        <is>
          <t>delivered</t>
        </is>
      </c>
    </row>
    <row r="54">
      <c r="B54" s="70" t="inlineStr">
        <is>
          <t>2026-04-05</t>
        </is>
      </c>
      <c r="C54" s="70" t="inlineStr">
        <is>
          <t>Mercado Livre</t>
        </is>
      </c>
      <c r="D54" s="70" t="inlineStr">
        <is>
          <t>Antipulgas Bravecto Original De 20 A 40 Kg</t>
        </is>
      </c>
      <c r="E54" s="80" t="n">
        <v>440</v>
      </c>
      <c r="F54" s="70" t="inlineStr">
        <is>
          <t>Pet</t>
        </is>
      </c>
      <c r="G54" s="70" t="inlineStr">
        <is>
          <t>delivered</t>
        </is>
      </c>
    </row>
    <row r="55">
      <c r="B55" s="66" t="inlineStr">
        <is>
          <t>2026-04-03</t>
        </is>
      </c>
      <c r="C55" s="66" t="inlineStr">
        <is>
          <t>iFood</t>
        </is>
      </c>
      <c r="D55" s="66" t="inlineStr">
        <is>
          <t>Matterello Pizza – 2x M (8 FATIAS) 2 SABORES</t>
        </is>
      </c>
      <c r="E55" s="82" t="n">
        <v>0</v>
      </c>
      <c r="F55" s="66" t="inlineStr">
        <is>
          <t>Delivery/Pizza</t>
        </is>
      </c>
      <c r="G55" s="66" t="inlineStr">
        <is>
          <t>delivered</t>
        </is>
      </c>
    </row>
    <row r="56">
      <c r="B56" s="70" t="inlineStr">
        <is>
          <t>2026-03-XX</t>
        </is>
      </c>
      <c r="C56" s="70" t="inlineStr">
        <is>
          <t>Mercado Livre</t>
        </is>
      </c>
      <c r="D56" s="70" t="inlineStr">
        <is>
          <t>4 produtos Mercado Livre</t>
        </is>
      </c>
      <c r="E56" s="80" t="n">
        <v>824.5</v>
      </c>
      <c r="F56" s="70" t="inlineStr">
        <is>
          <t>Cancelado</t>
        </is>
      </c>
      <c r="G56" s="70" t="inlineStr">
        <is>
          <t>cancelled</t>
        </is>
      </c>
    </row>
    <row r="57">
      <c r="B57" s="66" t="inlineStr">
        <is>
          <t>2026-03-30</t>
        </is>
      </c>
      <c r="C57" s="66" t="inlineStr">
        <is>
          <t>Mercado Livre</t>
        </is>
      </c>
      <c r="D57" s="66" t="inlineStr">
        <is>
          <t>Vittak Defletor Ar Condicionado Split</t>
        </is>
      </c>
      <c r="E57" s="79" t="n">
        <v>27.9</v>
      </c>
      <c r="F57" s="66" t="inlineStr">
        <is>
          <t>Casa</t>
        </is>
      </c>
      <c r="G57" s="66" t="inlineStr">
        <is>
          <t>delivered</t>
        </is>
      </c>
    </row>
    <row r="58">
      <c r="B58" s="70" t="inlineStr">
        <is>
          <t>2026-03-30</t>
        </is>
      </c>
      <c r="C58" s="70" t="inlineStr">
        <is>
          <t>Mercado Livre</t>
        </is>
      </c>
      <c r="D58" s="70" t="inlineStr">
        <is>
          <t>Traqueia Cpap Pvc Cinza 22mm X 1,80m</t>
        </is>
      </c>
      <c r="E58" s="80" t="n">
        <v>49.9</v>
      </c>
      <c r="F58" s="70" t="inlineStr">
        <is>
          <t>Saúde/CPAP</t>
        </is>
      </c>
      <c r="G58" s="70" t="inlineStr">
        <is>
          <t>delivered</t>
        </is>
      </c>
    </row>
    <row r="59">
      <c r="B59" s="66" t="inlineStr">
        <is>
          <t>2026-03-29</t>
        </is>
      </c>
      <c r="C59" s="66" t="inlineStr">
        <is>
          <t>Mercado Livre</t>
        </is>
      </c>
      <c r="D59" s="66" t="inlineStr">
        <is>
          <t>Lavadora De Alta Pressão Wap Premier 2600</t>
        </is>
      </c>
      <c r="E59" s="79" t="n">
        <v>919</v>
      </c>
      <c r="F59" s="66" t="inlineStr">
        <is>
          <t>Casa</t>
        </is>
      </c>
      <c r="G59" s="66" t="inlineStr">
        <is>
          <t>delivered</t>
        </is>
      </c>
    </row>
    <row r="60">
      <c r="B60" s="70" t="inlineStr">
        <is>
          <t>2026-03-28</t>
        </is>
      </c>
      <c r="C60" s="70" t="inlineStr">
        <is>
          <t>Mercado Livre</t>
        </is>
      </c>
      <c r="D60" s="70" t="inlineStr">
        <is>
          <t>Water Cooler Argb 240mm Pwm Para Cpu</t>
        </is>
      </c>
      <c r="E60" s="80" t="n">
        <v>399.99</v>
      </c>
      <c r="F60" s="70" t="inlineStr">
        <is>
          <t>Eletrônicos</t>
        </is>
      </c>
      <c r="G60" s="70" t="inlineStr">
        <is>
          <t>delivered</t>
        </is>
      </c>
    </row>
    <row r="61">
      <c r="B61" s="66" t="inlineStr">
        <is>
          <t>2026-03-27</t>
        </is>
      </c>
      <c r="C61" s="66" t="inlineStr">
        <is>
          <t>Mercado Livre</t>
        </is>
      </c>
      <c r="D61" s="66" t="inlineStr">
        <is>
          <t>Tapete Protetor De Piso Cadeira Gamer</t>
        </is>
      </c>
      <c r="E61" s="79" t="n">
        <v>151.8</v>
      </c>
      <c r="F61" s="66" t="inlineStr">
        <is>
          <t>Home Office</t>
        </is>
      </c>
      <c r="G61" s="66" t="inlineStr">
        <is>
          <t>delivered</t>
        </is>
      </c>
    </row>
    <row r="62">
      <c r="B62" s="70" t="inlineStr">
        <is>
          <t>2026-03-25</t>
        </is>
      </c>
      <c r="C62" s="70" t="inlineStr">
        <is>
          <t>Mercado Livre</t>
        </is>
      </c>
      <c r="D62" s="70" t="inlineStr">
        <is>
          <t>Electrolux Filtro/refil De Água Acqua Pure</t>
        </is>
      </c>
      <c r="E62" s="80" t="n">
        <v>69.90000000000001</v>
      </c>
      <c r="F62" s="70" t="inlineStr">
        <is>
          <t>Casa</t>
        </is>
      </c>
      <c r="G62" s="70" t="inlineStr">
        <is>
          <t>delivered</t>
        </is>
      </c>
    </row>
    <row r="63">
      <c r="B63" s="66" t="inlineStr">
        <is>
          <t>2026-03-25</t>
        </is>
      </c>
      <c r="C63" s="66" t="inlineStr">
        <is>
          <t>Mercado Livre</t>
        </is>
      </c>
      <c r="D63" s="66" t="inlineStr">
        <is>
          <t>Luminária Led 3d De Mesa Logo Personalizada</t>
        </is>
      </c>
      <c r="E63" s="79" t="n">
        <v>137.86</v>
      </c>
      <c r="F63" s="66" t="inlineStr">
        <is>
          <t>Home Office</t>
        </is>
      </c>
      <c r="G63" s="66" t="inlineStr">
        <is>
          <t>delivered</t>
        </is>
      </c>
    </row>
    <row r="64">
      <c r="B64" s="70" t="inlineStr">
        <is>
          <t>2026-03-24</t>
        </is>
      </c>
      <c r="C64" s="70" t="inlineStr">
        <is>
          <t>Mercado Livre</t>
        </is>
      </c>
      <c r="D64" s="70" t="inlineStr">
        <is>
          <t>Filtro De Café 51mm Não Pressurizado Inox</t>
        </is>
      </c>
      <c r="E64" s="80" t="n">
        <v>54.9</v>
      </c>
      <c r="F64" s="70" t="inlineStr">
        <is>
          <t>Casa</t>
        </is>
      </c>
      <c r="G64" s="70" t="inlineStr">
        <is>
          <t>delivered</t>
        </is>
      </c>
    </row>
    <row r="65">
      <c r="B65" s="66" t="inlineStr">
        <is>
          <t>2026-03-23</t>
        </is>
      </c>
      <c r="C65" s="66" t="inlineStr">
        <is>
          <t>Mercado Livre</t>
        </is>
      </c>
      <c r="D65" s="66" t="inlineStr">
        <is>
          <t>Máquina De Gelo Turbo Ice Premium Mondial</t>
        </is>
      </c>
      <c r="E65" s="79" t="n">
        <v>699.9</v>
      </c>
      <c r="F65" s="66" t="inlineStr">
        <is>
          <t>Eletrodomésticos</t>
        </is>
      </c>
      <c r="G65" s="66" t="inlineStr">
        <is>
          <t>delivered</t>
        </is>
      </c>
    </row>
    <row r="66">
      <c r="B66" s="70" t="inlineStr">
        <is>
          <t>2026-03-22</t>
        </is>
      </c>
      <c r="C66" s="70" t="inlineStr">
        <is>
          <t>Mercado Livre</t>
        </is>
      </c>
      <c r="D66" s="70" t="inlineStr">
        <is>
          <t>Relógio Digital Mesa Led Wooden Clock</t>
        </is>
      </c>
      <c r="E66" s="80" t="n">
        <v>49.83</v>
      </c>
      <c r="F66" s="70" t="inlineStr">
        <is>
          <t>Casa</t>
        </is>
      </c>
      <c r="G66" s="70" t="inlineStr">
        <is>
          <t>delivered</t>
        </is>
      </c>
    </row>
    <row r="67">
      <c r="B67" s="66" t="inlineStr">
        <is>
          <t>2026-03-22</t>
        </is>
      </c>
      <c r="C67" s="66" t="inlineStr">
        <is>
          <t>Mercado Livre</t>
        </is>
      </c>
      <c r="D67" s="66" t="inlineStr">
        <is>
          <t>Desk Pad Mouse Pad 90x40 Extra Grande</t>
        </is>
      </c>
      <c r="E67" s="79" t="n">
        <v>41.24</v>
      </c>
      <c r="F67" s="66" t="inlineStr">
        <is>
          <t>Home Office</t>
        </is>
      </c>
      <c r="G67" s="66" t="inlineStr">
        <is>
          <t>delivered</t>
        </is>
      </c>
    </row>
    <row r="68">
      <c r="B68" s="70" t="inlineStr">
        <is>
          <t>2026-03-20</t>
        </is>
      </c>
      <c r="C68" s="70" t="inlineStr">
        <is>
          <t>Mercado Livre</t>
        </is>
      </c>
      <c r="D68" s="70" t="inlineStr">
        <is>
          <t>Traqueia Para Air Mini Tubing Resmed 38822</t>
        </is>
      </c>
      <c r="E68" s="80" t="n">
        <v>285.95</v>
      </c>
      <c r="F68" s="70" t="inlineStr">
        <is>
          <t>Saúde/CPAP</t>
        </is>
      </c>
      <c r="G68" s="70" t="inlineStr">
        <is>
          <t>delivered</t>
        </is>
      </c>
    </row>
    <row r="69">
      <c r="B69" s="66" t="inlineStr">
        <is>
          <t>2026-03-18</t>
        </is>
      </c>
      <c r="C69" s="66" t="inlineStr">
        <is>
          <t>Mercado Livre</t>
        </is>
      </c>
      <c r="D69" s="66" t="inlineStr">
        <is>
          <t>Umidificador Resmed Humidx Plus Para Cpap</t>
        </is>
      </c>
      <c r="E69" s="79" t="n">
        <v>86.33</v>
      </c>
      <c r="F69" s="66" t="inlineStr">
        <is>
          <t>Saúde/CPAP</t>
        </is>
      </c>
      <c r="G69" s="66" t="inlineStr">
        <is>
          <t>delivered</t>
        </is>
      </c>
    </row>
    <row r="70">
      <c r="B70" s="70" t="inlineStr">
        <is>
          <t>2026-03-16</t>
        </is>
      </c>
      <c r="C70" s="70" t="inlineStr">
        <is>
          <t>Mercado Livre</t>
        </is>
      </c>
      <c r="D70" s="70" t="inlineStr">
        <is>
          <t>Capa Tv Televisão 32–75 Polegadas</t>
        </is>
      </c>
      <c r="E70" s="80" t="n">
        <v>110.38</v>
      </c>
      <c r="F70" s="70" t="inlineStr">
        <is>
          <t>Casa</t>
        </is>
      </c>
      <c r="G70" s="70" t="inlineStr">
        <is>
          <t>delivered</t>
        </is>
      </c>
    </row>
    <row r="71">
      <c r="B71" s="66" t="inlineStr">
        <is>
          <t>2026-03-16</t>
        </is>
      </c>
      <c r="C71" s="66" t="inlineStr">
        <is>
          <t>Mercado Livre</t>
        </is>
      </c>
      <c r="D71" s="66" t="inlineStr">
        <is>
          <t>Melhor Pegboard Setup Gamer Home Office</t>
        </is>
      </c>
      <c r="E71" s="79" t="n">
        <v>63.9</v>
      </c>
      <c r="F71" s="66" t="inlineStr">
        <is>
          <t>Home Office</t>
        </is>
      </c>
      <c r="G71" s="66" t="inlineStr">
        <is>
          <t>delivered</t>
        </is>
      </c>
    </row>
    <row r="72">
      <c r="B72" s="70" t="inlineStr">
        <is>
          <t>2026-03-16</t>
        </is>
      </c>
      <c r="C72" s="70" t="inlineStr">
        <is>
          <t>Mercado Livre</t>
        </is>
      </c>
      <c r="D72" s="70" t="inlineStr">
        <is>
          <t>Organizador De Cabos E Fios 5 Metros</t>
        </is>
      </c>
      <c r="E72" s="80" t="n">
        <v>22.7</v>
      </c>
      <c r="F72" s="70" t="inlineStr">
        <is>
          <t>Home Office</t>
        </is>
      </c>
      <c r="G72" s="70" t="inlineStr">
        <is>
          <t>delivered</t>
        </is>
      </c>
    </row>
    <row r="73">
      <c r="B73" s="66" t="inlineStr">
        <is>
          <t>2026-03-16</t>
        </is>
      </c>
      <c r="C73" s="66" t="inlineStr">
        <is>
          <t>Mercado Livre</t>
        </is>
      </c>
      <c r="D73" s="66" t="inlineStr">
        <is>
          <t>Luminária Barra Led Mesa Duas Cabeças</t>
        </is>
      </c>
      <c r="E73" s="79" t="n">
        <v>127.4</v>
      </c>
      <c r="F73" s="66" t="inlineStr">
        <is>
          <t>Home Office</t>
        </is>
      </c>
      <c r="G73" s="66" t="inlineStr">
        <is>
          <t>delivered</t>
        </is>
      </c>
    </row>
    <row r="74">
      <c r="B74" s="70" t="inlineStr">
        <is>
          <t>2026-03-16</t>
        </is>
      </c>
      <c r="C74" s="70" t="inlineStr">
        <is>
          <t>Mercado Livre</t>
        </is>
      </c>
      <c r="D74" s="70" t="inlineStr">
        <is>
          <t>Bolsa Organizadora De Cabo Fio Eletrônico</t>
        </is>
      </c>
      <c r="E74" s="80" t="n">
        <v>20.67</v>
      </c>
      <c r="F74" s="70" t="inlineStr">
        <is>
          <t>Home Office</t>
        </is>
      </c>
      <c r="G74" s="70" t="inlineStr">
        <is>
          <t>delivered</t>
        </is>
      </c>
    </row>
    <row r="75">
      <c r="B75" s="66" t="inlineStr">
        <is>
          <t>2026-03-16</t>
        </is>
      </c>
      <c r="C75" s="66" t="inlineStr">
        <is>
          <t>Mercado Livre</t>
        </is>
      </c>
      <c r="D75" s="66" t="inlineStr">
        <is>
          <t>Organizador De Gavetas Escritório Maxcril</t>
        </is>
      </c>
      <c r="E75" s="79" t="n">
        <v>36.9</v>
      </c>
      <c r="F75" s="66" t="inlineStr">
        <is>
          <t>Home Office</t>
        </is>
      </c>
      <c r="G75" s="66" t="inlineStr">
        <is>
          <t>delivered</t>
        </is>
      </c>
    </row>
    <row r="76">
      <c r="B76" s="70" t="inlineStr">
        <is>
          <t>2026-03-16</t>
        </is>
      </c>
      <c r="C76" s="70" t="inlineStr">
        <is>
          <t>Mercado Livre</t>
        </is>
      </c>
      <c r="D76" s="70" t="inlineStr">
        <is>
          <t>Cpap Portátil Resmed Airmini Automático</t>
        </is>
      </c>
      <c r="E76" s="80" t="n">
        <v>4980.91</v>
      </c>
      <c r="F76" s="70" t="inlineStr">
        <is>
          <t>Saúde/CPAP</t>
        </is>
      </c>
      <c r="G76" s="70" t="inlineStr">
        <is>
          <t>delivered</t>
        </is>
      </c>
    </row>
    <row r="77">
      <c r="B77" s="66" t="inlineStr">
        <is>
          <t>2026-03-13</t>
        </is>
      </c>
      <c r="C77" s="66" t="inlineStr">
        <is>
          <t>Mercado Livre</t>
        </is>
      </c>
      <c r="D77" s="66" t="inlineStr">
        <is>
          <t>Mousepad Grande Programação AtalhosPhy</t>
        </is>
      </c>
      <c r="E77" s="79" t="n">
        <v>59.9</v>
      </c>
      <c r="F77" s="66" t="inlineStr">
        <is>
          <t>Home Office</t>
        </is>
      </c>
      <c r="G77" s="66" t="inlineStr">
        <is>
          <t>delivered</t>
        </is>
      </c>
    </row>
    <row r="78">
      <c r="B78" s="70" t="inlineStr">
        <is>
          <t>2026-03-12</t>
        </is>
      </c>
      <c r="C78" s="70" t="inlineStr">
        <is>
          <t>Mercado Livre</t>
        </is>
      </c>
      <c r="D78" s="70" t="inlineStr">
        <is>
          <t>Teclas Avulsas Teclado Magic Keyboard Apple</t>
        </is>
      </c>
      <c r="E78" s="80" t="n">
        <v>79</v>
      </c>
      <c r="F78" s="70" t="inlineStr">
        <is>
          <t>Eletrônicos</t>
        </is>
      </c>
      <c r="G78" s="70" t="inlineStr">
        <is>
          <t>delivered</t>
        </is>
      </c>
    </row>
    <row r="79">
      <c r="B79" s="66" t="inlineStr">
        <is>
          <t>2026-03-12</t>
        </is>
      </c>
      <c r="C79" s="66" t="inlineStr">
        <is>
          <t>Mercado Livre</t>
        </is>
      </c>
      <c r="D79" s="66" t="inlineStr">
        <is>
          <t>Chinelo Hoka One One Ora Athletic Slide</t>
        </is>
      </c>
      <c r="E79" s="79" t="n">
        <v>599.9</v>
      </c>
      <c r="F79" s="66" t="inlineStr">
        <is>
          <t>Vestuário</t>
        </is>
      </c>
      <c r="G79" s="66" t="inlineStr">
        <is>
          <t>delivered</t>
        </is>
      </c>
    </row>
    <row r="80">
      <c r="B80" s="70" t="inlineStr">
        <is>
          <t>2026-03-12</t>
        </is>
      </c>
      <c r="C80" s="70" t="inlineStr">
        <is>
          <t>Mercado Livre</t>
        </is>
      </c>
      <c r="D80" s="70" t="inlineStr">
        <is>
          <t>Tênis Hoka Mach 6 Masculino Azul Jeans</t>
        </is>
      </c>
      <c r="E80" s="80" t="n">
        <v>1009.78</v>
      </c>
      <c r="F80" s="70" t="inlineStr">
        <is>
          <t>Vestuário</t>
        </is>
      </c>
      <c r="G80" s="70" t="inlineStr">
        <is>
          <t>delivered</t>
        </is>
      </c>
    </row>
    <row r="81">
      <c r="B81" s="66" t="inlineStr">
        <is>
          <t>2026-03-10</t>
        </is>
      </c>
      <c r="C81" s="66" t="inlineStr">
        <is>
          <t>Mercado Livre</t>
        </is>
      </c>
      <c r="D81" s="66" t="inlineStr">
        <is>
          <t>Lanterna De Mergulho F9 Inton Alto Desempenho</t>
        </is>
      </c>
      <c r="E81" s="79" t="n">
        <v>558.72</v>
      </c>
      <c r="F81" s="66" t="inlineStr">
        <is>
          <t>Esportes</t>
        </is>
      </c>
      <c r="G81" s="66" t="inlineStr">
        <is>
          <t>delivered</t>
        </is>
      </c>
    </row>
    <row r="82">
      <c r="B82" s="70" t="inlineStr">
        <is>
          <t>2026-03-10</t>
        </is>
      </c>
      <c r="C82" s="70" t="inlineStr">
        <is>
          <t>Mercado Livre</t>
        </is>
      </c>
      <c r="D82" s="70" t="inlineStr">
        <is>
          <t>Filtro De Café De Aço Inoxidável 1 Copo 51mm</t>
        </is>
      </c>
      <c r="E82" s="80" t="n">
        <v>72.67</v>
      </c>
      <c r="F82" s="70" t="inlineStr">
        <is>
          <t>Casa</t>
        </is>
      </c>
      <c r="G82" s="70" t="inlineStr">
        <is>
          <t>delivered</t>
        </is>
      </c>
    </row>
    <row r="83">
      <c r="B83" s="66" t="inlineStr">
        <is>
          <t>2026-03-09</t>
        </is>
      </c>
      <c r="C83" s="66" t="inlineStr">
        <is>
          <t>Mercado Livre</t>
        </is>
      </c>
      <c r="D83" s="66" t="inlineStr">
        <is>
          <t>Kit 4 Dilatador Nasal Espiral Anti Ronco</t>
        </is>
      </c>
      <c r="E83" s="79" t="n">
        <v>21.89</v>
      </c>
      <c r="F83" s="66" t="inlineStr">
        <is>
          <t>Saúde/CPAP</t>
        </is>
      </c>
      <c r="G83" s="66" t="inlineStr">
        <is>
          <t>delivered</t>
        </is>
      </c>
    </row>
    <row r="84">
      <c r="B84" s="70" t="inlineStr">
        <is>
          <t>2026-03-09</t>
        </is>
      </c>
      <c r="C84" s="70" t="inlineStr">
        <is>
          <t>Mercado Livre</t>
        </is>
      </c>
      <c r="D84" s="70" t="inlineStr">
        <is>
          <t>Dilatador Nasal Magnético Reduza O Ronco</t>
        </is>
      </c>
      <c r="E84" s="80" t="n">
        <v>53.99</v>
      </c>
      <c r="F84" s="70" t="inlineStr">
        <is>
          <t>Saúde/CPAP</t>
        </is>
      </c>
      <c r="G84" s="70" t="inlineStr">
        <is>
          <t>delivered</t>
        </is>
      </c>
    </row>
    <row r="85">
      <c r="B85" s="66" t="inlineStr">
        <is>
          <t>2026-03-09</t>
        </is>
      </c>
      <c r="C85" s="66" t="inlineStr">
        <is>
          <t>Mercado Livre</t>
        </is>
      </c>
      <c r="D85" s="66" t="inlineStr">
        <is>
          <t>Vermelho Gradiente Pbt Duas Cores Teclado</t>
        </is>
      </c>
      <c r="E85" s="79" t="n">
        <v>60.08</v>
      </c>
      <c r="F85" s="66" t="inlineStr">
        <is>
          <t>Eletrônicos</t>
        </is>
      </c>
      <c r="G85" s="66" t="inlineStr">
        <is>
          <t>delivered</t>
        </is>
      </c>
    </row>
    <row r="86">
      <c r="B86" s="70" t="inlineStr">
        <is>
          <t>2026-03-06</t>
        </is>
      </c>
      <c r="C86" s="70" t="inlineStr">
        <is>
          <t>Mercado Livre</t>
        </is>
      </c>
      <c r="D86" s="70" t="inlineStr">
        <is>
          <t>Cápsula Nespresso Inox Reutilizável + Tampe</t>
        </is>
      </c>
      <c r="E86" s="80" t="n">
        <v>152.91</v>
      </c>
      <c r="F86" s="70" t="inlineStr">
        <is>
          <t>Casa</t>
        </is>
      </c>
      <c r="G86" s="70" t="inlineStr">
        <is>
          <t>delivered</t>
        </is>
      </c>
    </row>
    <row r="87">
      <c r="B87" s="66" t="inlineStr">
        <is>
          <t>2026-03-03</t>
        </is>
      </c>
      <c r="C87" s="66" t="inlineStr">
        <is>
          <t>iFood</t>
        </is>
      </c>
      <c r="D87" s="66" t="inlineStr">
        <is>
          <t>Dona Branca – 1x Pizza grande 8 fatias + Guaraná 1l</t>
        </is>
      </c>
      <c r="E87" s="79" t="n">
        <v>57</v>
      </c>
      <c r="F87" s="66" t="inlineStr">
        <is>
          <t>Delivery/Pizza</t>
        </is>
      </c>
      <c r="G87" s="66" t="inlineStr">
        <is>
          <t>delivered</t>
        </is>
      </c>
    </row>
    <row r="88">
      <c r="B88" s="70" t="inlineStr">
        <is>
          <t>2026-02-XX</t>
        </is>
      </c>
      <c r="C88" s="70" t="inlineStr">
        <is>
          <t>Mercado Livre</t>
        </is>
      </c>
      <c r="D88" s="70" t="inlineStr">
        <is>
          <t>Cpap Portátil Resmed Airmini (não entregue)</t>
        </is>
      </c>
      <c r="E88" s="80" t="n">
        <v>4952.52</v>
      </c>
      <c r="F88" s="70" t="inlineStr">
        <is>
          <t>Saúde/CPAP</t>
        </is>
      </c>
      <c r="G88" s="70" t="inlineStr">
        <is>
          <t>failed</t>
        </is>
      </c>
    </row>
    <row r="89">
      <c r="B89" s="66" t="inlineStr">
        <is>
          <t>2026-02-27</t>
        </is>
      </c>
      <c r="C89" s="66" t="inlineStr">
        <is>
          <t>Mercado Livre</t>
        </is>
      </c>
      <c r="D89" s="66" t="inlineStr">
        <is>
          <t>Monitor Gamer Aoc Agon 49 Curvo 144hz</t>
        </is>
      </c>
      <c r="E89" s="79" t="n">
        <v>5999</v>
      </c>
      <c r="F89" s="66" t="inlineStr">
        <is>
          <t>Eletrônicos</t>
        </is>
      </c>
      <c r="G89" s="66" t="inlineStr">
        <is>
          <t>delivered</t>
        </is>
      </c>
    </row>
    <row r="90">
      <c r="B90" s="70" t="inlineStr">
        <is>
          <t>2026-02-25</t>
        </is>
      </c>
      <c r="C90" s="70" t="inlineStr">
        <is>
          <t>Mercado Livre</t>
        </is>
      </c>
      <c r="D90" s="70" t="inlineStr">
        <is>
          <t>Teclado Programável De 8 Teclas Multifuncio</t>
        </is>
      </c>
      <c r="E90" s="80" t="n">
        <v>128.83</v>
      </c>
      <c r="F90" s="70" t="inlineStr">
        <is>
          <t>Eletrônicos</t>
        </is>
      </c>
      <c r="G90" s="70" t="inlineStr">
        <is>
          <t>delivered</t>
        </is>
      </c>
    </row>
    <row r="91">
      <c r="B91" s="66" t="inlineStr">
        <is>
          <t>2026-02-21</t>
        </is>
      </c>
      <c r="C91" s="66" t="inlineStr">
        <is>
          <t>Mercado Livre</t>
        </is>
      </c>
      <c r="D91" s="66" t="inlineStr">
        <is>
          <t>Escova De Dente Elétrica Oral B Io Series 6</t>
        </is>
      </c>
      <c r="E91" s="79" t="n">
        <v>1200.05</v>
      </c>
      <c r="F91" s="66" t="inlineStr">
        <is>
          <t>Saúde/Higiene</t>
        </is>
      </c>
      <c r="G91" s="66" t="inlineStr">
        <is>
          <t>delivered</t>
        </is>
      </c>
    </row>
    <row r="92">
      <c r="B92" s="70" t="inlineStr">
        <is>
          <t>2026-02-19</t>
        </is>
      </c>
      <c r="C92" s="70" t="inlineStr">
        <is>
          <t>Mercado Livre</t>
        </is>
      </c>
      <c r="D92" s="70" t="inlineStr">
        <is>
          <t>Processador De Vídeo Novastar Vc2 Painel D</t>
        </is>
      </c>
      <c r="E92" s="80" t="n">
        <v>1798</v>
      </c>
      <c r="F92" s="70" t="inlineStr">
        <is>
          <t>Eletrônicos</t>
        </is>
      </c>
      <c r="G92" s="70" t="inlineStr">
        <is>
          <t>delivered</t>
        </is>
      </c>
    </row>
    <row r="93">
      <c r="B93" s="66" t="inlineStr">
        <is>
          <t>2026-02-18</t>
        </is>
      </c>
      <c r="C93" s="66" t="inlineStr">
        <is>
          <t>Mercado Livre</t>
        </is>
      </c>
      <c r="D93" s="66" t="inlineStr">
        <is>
          <t>Mouse Sem Fio Logitech Mx Master 4 Haptic</t>
        </is>
      </c>
      <c r="E93" s="79" t="n">
        <v>1590</v>
      </c>
      <c r="F93" s="66" t="inlineStr">
        <is>
          <t>Eletrônicos</t>
        </is>
      </c>
      <c r="G93" s="66" t="inlineStr">
        <is>
          <t>delivered</t>
        </is>
      </c>
    </row>
    <row r="94">
      <c r="B94" s="70" t="inlineStr">
        <is>
          <t>2026-02-17</t>
        </is>
      </c>
      <c r="C94" s="70" t="inlineStr">
        <is>
          <t>Mercado Livre</t>
        </is>
      </c>
      <c r="D94" s="70" t="inlineStr">
        <is>
          <t>Aspirador De Pó Portátil Bateria 18v</t>
        </is>
      </c>
      <c r="E94" s="80" t="n">
        <v>236.97</v>
      </c>
      <c r="F94" s="70" t="inlineStr">
        <is>
          <t>Casa</t>
        </is>
      </c>
      <c r="G94" s="70" t="inlineStr">
        <is>
          <t>delivered</t>
        </is>
      </c>
    </row>
    <row r="95">
      <c r="B95" s="66" t="inlineStr">
        <is>
          <t>2026-02-17</t>
        </is>
      </c>
      <c r="C95" s="66" t="inlineStr">
        <is>
          <t>Mercado Livre</t>
        </is>
      </c>
      <c r="D95" s="66" t="inlineStr">
        <is>
          <t>Hoto Mini Aspirador De Pó Portátil Sem Fio</t>
        </is>
      </c>
      <c r="E95" s="79" t="n">
        <v>496.29</v>
      </c>
      <c r="F95" s="66" t="inlineStr">
        <is>
          <t>Casa</t>
        </is>
      </c>
      <c r="G95" s="66" t="inlineStr">
        <is>
          <t>delivered</t>
        </is>
      </c>
    </row>
    <row r="96">
      <c r="B96" s="70" t="inlineStr">
        <is>
          <t>2026-02-12</t>
        </is>
      </c>
      <c r="C96" s="70" t="inlineStr">
        <is>
          <t>Mercado Livre</t>
        </is>
      </c>
      <c r="D96" s="70" t="inlineStr">
        <is>
          <t>Máscara Nasal Airfit P30i P M G Resmed</t>
        </is>
      </c>
      <c r="E96" s="80" t="n">
        <v>482.55</v>
      </c>
      <c r="F96" s="70" t="inlineStr">
        <is>
          <t>Saúde/CPAP</t>
        </is>
      </c>
      <c r="G96" s="70" t="inlineStr">
        <is>
          <t>delivered</t>
        </is>
      </c>
    </row>
    <row r="97">
      <c r="B97" s="66" t="inlineStr">
        <is>
          <t>2026-01-28</t>
        </is>
      </c>
      <c r="C97" s="66" t="inlineStr">
        <is>
          <t>iFood</t>
        </is>
      </c>
      <c r="D97" s="66" t="inlineStr">
        <is>
          <t>Maria Baunilha Confeitaria – 2x Copo da Felicidade</t>
        </is>
      </c>
      <c r="E97" s="82" t="n">
        <v>0</v>
      </c>
      <c r="F97" s="66" t="inlineStr">
        <is>
          <t>Delivery/Confeitaria</t>
        </is>
      </c>
      <c r="G97" s="66" t="inlineStr">
        <is>
          <t>delivered</t>
        </is>
      </c>
    </row>
    <row r="98">
      <c r="B98" s="70" t="inlineStr">
        <is>
          <t>2026-01-16</t>
        </is>
      </c>
      <c r="C98" s="70" t="inlineStr">
        <is>
          <t>iFood</t>
        </is>
      </c>
      <c r="D98" s="70" t="inlineStr">
        <is>
          <t>Formaggio 43 - Forneria – 2x Pizza grande - até 02 sabores</t>
        </is>
      </c>
      <c r="E98" s="80" t="n">
        <v>191.8</v>
      </c>
      <c r="F98" s="70" t="inlineStr">
        <is>
          <t>Delivery/Pizza</t>
        </is>
      </c>
      <c r="G98" s="70" t="inlineStr">
        <is>
          <t>delivered</t>
        </is>
      </c>
    </row>
    <row r="99">
      <c r="B99" s="66" t="inlineStr">
        <is>
          <t>2026-01-10</t>
        </is>
      </c>
      <c r="C99" s="66" t="inlineStr">
        <is>
          <t>iFood</t>
        </is>
      </c>
      <c r="D99" s="66" t="inlineStr">
        <is>
          <t>Maria Baunilha Confeitaria – 4x Copo da Felicidade</t>
        </is>
      </c>
      <c r="E99" s="79" t="n">
        <v>111.6</v>
      </c>
      <c r="F99" s="66" t="inlineStr">
        <is>
          <t>Delivery/Confeitaria</t>
        </is>
      </c>
      <c r="G99" s="66" t="inlineStr">
        <is>
          <t>delivered</t>
        </is>
      </c>
    </row>
    <row r="100">
      <c r="B100" s="70" t="inlineStr">
        <is>
          <t>2026-01-06</t>
        </is>
      </c>
      <c r="C100" s="70" t="inlineStr">
        <is>
          <t>iFood</t>
        </is>
      </c>
      <c r="D100" s="70" t="inlineStr">
        <is>
          <t>Pizza Now Intermares – Pizza</t>
        </is>
      </c>
      <c r="E100" s="80" t="n">
        <v>173.79</v>
      </c>
      <c r="F100" s="70" t="inlineStr">
        <is>
          <t>Delivery/Pizza</t>
        </is>
      </c>
      <c r="G100" s="70" t="inlineStr">
        <is>
          <t>delivered</t>
        </is>
      </c>
    </row>
    <row r="101">
      <c r="B101" s="66" t="inlineStr">
        <is>
          <t>2026-01-03</t>
        </is>
      </c>
      <c r="C101" s="66" t="inlineStr">
        <is>
          <t>Mercado Livre</t>
        </is>
      </c>
      <c r="D101" s="66" t="inlineStr">
        <is>
          <t>Kit Odontológico Inox De Limpeza Removedor</t>
        </is>
      </c>
      <c r="E101" s="79" t="n">
        <v>26.29</v>
      </c>
      <c r="F101" s="66" t="inlineStr">
        <is>
          <t>Saúde/Higiene</t>
        </is>
      </c>
      <c r="G101" s="66" t="inlineStr">
        <is>
          <t>delivered</t>
        </is>
      </c>
    </row>
    <row r="102">
      <c r="B102" s="70" t="inlineStr">
        <is>
          <t>2026-01-03</t>
        </is>
      </c>
      <c r="C102" s="70" t="inlineStr">
        <is>
          <t>Mercado Livre</t>
        </is>
      </c>
      <c r="D102" s="70" t="inlineStr">
        <is>
          <t>Kit Cabo+espelho Odontológico Inox</t>
        </is>
      </c>
      <c r="E102" s="80" t="n">
        <v>21.85</v>
      </c>
      <c r="F102" s="70" t="inlineStr">
        <is>
          <t>Saúde/Higiene</t>
        </is>
      </c>
      <c r="G102" s="70" t="inlineStr">
        <is>
          <t>delivered</t>
        </is>
      </c>
    </row>
  </sheetData>
  <autoFilter ref="B33:G102"/>
  <mergeCells count="10">
    <mergeCell ref="F3:G3"/>
    <mergeCell ref="F4:G4"/>
    <mergeCell ref="B22:G22"/>
    <mergeCell ref="B3:C3"/>
    <mergeCell ref="B1:G1"/>
    <mergeCell ref="B32:G32"/>
    <mergeCell ref="D4:E4"/>
    <mergeCell ref="D3:E3"/>
    <mergeCell ref="B4:C4"/>
    <mergeCell ref="B7:G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5621B"/>
    <outlinePr summaryBelow="1" summaryRight="1"/>
    <pageSetUpPr/>
  </sheetPr>
  <dimension ref="B1:J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0" customWidth="1" min="3" max="3"/>
    <col width="28" customWidth="1" min="4" max="4"/>
    <col width="10" customWidth="1" min="5" max="5"/>
    <col width="8" customWidth="1" min="6" max="6"/>
    <col width="14" customWidth="1" min="7" max="7"/>
    <col width="14" customWidth="1" min="8" max="8"/>
    <col width="14" customWidth="1" min="9" max="9"/>
    <col width="20" customWidth="1" min="10" max="10"/>
  </cols>
  <sheetData>
    <row r="1" ht="30" customHeight="1">
      <c r="B1" s="27" t="inlineStr">
        <is>
          <t xml:space="preserve">  SUBSCRIPTION MANAGER  ·  Stack Audit  ·  KEEP / CANCEL / REVIEW</t>
        </is>
      </c>
      <c r="C1" s="4" t="n"/>
      <c r="D1" s="4" t="n"/>
      <c r="E1" s="4" t="n"/>
      <c r="F1" s="4" t="n"/>
      <c r="G1" s="4" t="n"/>
      <c r="H1" s="4" t="n"/>
      <c r="I1" s="5" t="n"/>
    </row>
    <row r="3" ht="16" customHeight="1">
      <c r="B3" s="6" t="inlineStr">
        <is>
          <t>TOTAL/MONTH</t>
        </is>
      </c>
      <c r="C3" s="7" t="n"/>
      <c r="D3" s="6" t="inlineStr">
        <is>
          <t>KEEP/MONTH</t>
        </is>
      </c>
      <c r="E3" s="7" t="n"/>
      <c r="F3" s="6" t="inlineStr">
        <is>
          <t>CANCEL SAVINGS</t>
        </is>
      </c>
      <c r="G3" s="7" t="n"/>
      <c r="H3" s="6" t="inlineStr">
        <is>
          <t>CANCEL / YEAR</t>
        </is>
      </c>
      <c r="I3" s="7" t="n"/>
    </row>
    <row r="4" ht="30" customHeight="1">
      <c r="B4" s="8" t="n">
        <v>0</v>
      </c>
      <c r="C4" s="7" t="n"/>
      <c r="D4" s="8" t="n">
        <v>0</v>
      </c>
      <c r="E4" s="7" t="n"/>
      <c r="F4" s="8" t="n">
        <v>0</v>
      </c>
      <c r="G4" s="7" t="n"/>
      <c r="H4" s="8" t="n">
        <v>0</v>
      </c>
      <c r="I4" s="7" t="n"/>
    </row>
    <row r="6" ht="8" customHeight="1"/>
    <row r="7" ht="16" customHeight="1">
      <c r="B7" s="28" t="inlineStr">
        <is>
          <t xml:space="preserve">  FULL SUBSCRIPTION REGISTER</t>
        </is>
      </c>
      <c r="C7" s="29" t="n"/>
      <c r="D7" s="29" t="n"/>
      <c r="E7" s="29" t="n"/>
      <c r="F7" s="29" t="n"/>
      <c r="G7" s="29" t="n"/>
      <c r="H7" s="29" t="n"/>
      <c r="I7" s="30" t="n"/>
    </row>
    <row r="8" ht="18" customHeight="1">
      <c r="B8" s="11" t="inlineStr">
        <is>
          <t>Source</t>
        </is>
      </c>
      <c r="C8" s="11" t="inlineStr">
        <is>
          <t>Service</t>
        </is>
      </c>
      <c r="D8" s="11" t="inlineStr">
        <is>
          <t>Plan</t>
        </is>
      </c>
      <c r="E8" s="11" t="inlineStr">
        <is>
          <t>CCY</t>
        </is>
      </c>
      <c r="F8" s="11" t="inlineStr">
        <is>
          <t>Mthly BRL</t>
        </is>
      </c>
      <c r="G8" s="11" t="inlineStr">
        <is>
          <t>Category</t>
        </is>
      </c>
      <c r="H8" s="11" t="inlineStr">
        <is>
          <t>Dup Risk</t>
        </is>
      </c>
      <c r="I8" s="11" t="inlineStr">
        <is>
          <t>Decision</t>
        </is>
      </c>
      <c r="J8" s="11" t="inlineStr">
        <is>
          <t>Annual BRL</t>
        </is>
      </c>
    </row>
    <row r="9">
      <c r="B9" s="91" t="inlineStr"/>
      <c r="C9" s="91" t="inlineStr">
        <is>
          <t>Direct AI</t>
        </is>
      </c>
      <c r="D9" s="91" t="inlineStr">
        <is>
          <t>automacao.giovannini@gmail.com</t>
        </is>
      </c>
      <c r="E9" s="91" t="inlineStr">
        <is>
          <t>Pro</t>
        </is>
      </c>
      <c r="F9" s="92" t="n">
        <v>0</v>
      </c>
      <c r="G9" s="91" t="inlineStr">
        <is>
          <t>92</t>
        </is>
      </c>
      <c r="H9" s="91" t="inlineStr">
        <is>
          <t>AI - General/Coding</t>
        </is>
      </c>
      <c r="I9" s="93" t="inlineStr">
        <is>
          <t>HIGH</t>
        </is>
      </c>
      <c r="J9" s="92" t="n">
        <v>0</v>
      </c>
    </row>
    <row r="10">
      <c r="B10" s="91" t="inlineStr"/>
      <c r="C10" s="91" t="inlineStr">
        <is>
          <t>Direct AI</t>
        </is>
      </c>
      <c r="D10" s="91" t="inlineStr">
        <is>
          <t>cadastros.online1979@gmail.com</t>
        </is>
      </c>
      <c r="E10" s="91" t="inlineStr">
        <is>
          <t>Pro</t>
        </is>
      </c>
      <c r="F10" s="92" t="n">
        <v>0</v>
      </c>
      <c r="G10" s="91" t="inlineStr">
        <is>
          <t>92</t>
        </is>
      </c>
      <c r="H10" s="91" t="inlineStr">
        <is>
          <t>AI - General/Coding</t>
        </is>
      </c>
      <c r="I10" s="93" t="inlineStr">
        <is>
          <t>HIGH</t>
        </is>
      </c>
      <c r="J10" s="92" t="n">
        <v>0</v>
      </c>
    </row>
    <row r="11">
      <c r="B11" s="91" t="inlineStr"/>
      <c r="C11" s="91" t="inlineStr">
        <is>
          <t>Direct AI</t>
        </is>
      </c>
      <c r="D11" s="91" t="inlineStr">
        <is>
          <t>giovannini.eduardo@gmail.com</t>
        </is>
      </c>
      <c r="E11" s="91" t="inlineStr">
        <is>
          <t>Plus</t>
        </is>
      </c>
      <c r="F11" s="92" t="n">
        <v>0</v>
      </c>
      <c r="G11" s="91" t="inlineStr">
        <is>
          <t>106</t>
        </is>
      </c>
      <c r="H11" s="91" t="inlineStr">
        <is>
          <t>AI - General Assistant</t>
        </is>
      </c>
      <c r="I11" s="93" t="inlineStr">
        <is>
          <t>MEDIUM</t>
        </is>
      </c>
      <c r="J11" s="92" t="n">
        <v>0</v>
      </c>
    </row>
    <row r="12">
      <c r="B12" s="91" t="inlineStr"/>
      <c r="C12" s="91" t="inlineStr">
        <is>
          <t>Direct AI</t>
        </is>
      </c>
      <c r="D12" s="91" t="inlineStr">
        <is>
          <t>cadastros.online1979@gmail.com</t>
        </is>
      </c>
      <c r="E12" s="91" t="inlineStr">
        <is>
          <t>Pro</t>
        </is>
      </c>
      <c r="F12" s="92" t="n">
        <v>0</v>
      </c>
      <c r="G12" s="91" t="inlineStr">
        <is>
          <t>96.99</t>
        </is>
      </c>
      <c r="H12" s="91" t="inlineStr">
        <is>
          <t>AI - General/Workspace</t>
        </is>
      </c>
      <c r="I12" s="93" t="inlineStr">
        <is>
          <t>HIGH</t>
        </is>
      </c>
      <c r="J12" s="92" t="n">
        <v>0</v>
      </c>
    </row>
    <row r="13">
      <c r="B13" s="91" t="inlineStr"/>
      <c r="C13" s="91" t="inlineStr">
        <is>
          <t>Direct AI</t>
        </is>
      </c>
      <c r="D13" s="91" t="inlineStr">
        <is>
          <t>cadastro.giovannini@gmail.com</t>
        </is>
      </c>
      <c r="E13" s="91" t="inlineStr">
        <is>
          <t>Unknown / credits</t>
        </is>
      </c>
      <c r="F13" s="92" t="n">
        <v>0</v>
      </c>
      <c r="G13" s="91" t="inlineStr"/>
      <c r="H13" s="91" t="inlineStr">
        <is>
          <t>AI - Agent/Credits</t>
        </is>
      </c>
      <c r="I13" s="93" t="inlineStr">
        <is>
          <t>UNKNOWN</t>
        </is>
      </c>
      <c r="J13" s="92" t="n">
        <v>0</v>
      </c>
    </row>
    <row r="14">
      <c r="B14" s="91" t="inlineStr"/>
      <c r="C14" s="91" t="inlineStr">
        <is>
          <t>Direct AI</t>
        </is>
      </c>
      <c r="D14" s="91" t="inlineStr">
        <is>
          <t>automacao.giovannini@gmail.com</t>
        </is>
      </c>
      <c r="E14" s="91" t="inlineStr">
        <is>
          <t>Unknown / credits</t>
        </is>
      </c>
      <c r="F14" s="92" t="n">
        <v>0</v>
      </c>
      <c r="G14" s="91" t="inlineStr">
        <is>
          <t>418.43</t>
        </is>
      </c>
      <c r="H14" s="91" t="inlineStr">
        <is>
          <t>AI - Agent/Credits</t>
        </is>
      </c>
      <c r="I14" s="93" t="inlineStr">
        <is>
          <t>UNKNOWN</t>
        </is>
      </c>
      <c r="J14" s="92" t="n">
        <v>0</v>
      </c>
    </row>
    <row r="15">
      <c r="B15" s="91" t="inlineStr"/>
      <c r="C15" s="91" t="inlineStr">
        <is>
          <t>Direct AI</t>
        </is>
      </c>
      <c r="D15" s="91" t="inlineStr">
        <is>
          <t>giovannini.eduardo@gmail.com</t>
        </is>
      </c>
      <c r="E15" s="91" t="inlineStr">
        <is>
          <t>Pro</t>
        </is>
      </c>
      <c r="F15" s="92" t="n">
        <v>0</v>
      </c>
      <c r="G15" s="91" t="inlineStr">
        <is>
          <t>106</t>
        </is>
      </c>
      <c r="H15" s="91" t="inlineStr">
        <is>
          <t>AI - Coding Assistant</t>
        </is>
      </c>
      <c r="I15" s="93" t="inlineStr">
        <is>
          <t>MEDIUM</t>
        </is>
      </c>
      <c r="J15" s="92" t="n">
        <v>0</v>
      </c>
    </row>
    <row r="16">
      <c r="B16" s="91" t="inlineStr"/>
      <c r="C16" s="91" t="inlineStr">
        <is>
          <t>Direct AI</t>
        </is>
      </c>
      <c r="D16" s="91" t="inlineStr">
        <is>
          <t>automacao.giovannini@gmail.com</t>
        </is>
      </c>
      <c r="E16" s="91" t="inlineStr">
        <is>
          <t>Unlimited</t>
        </is>
      </c>
      <c r="F16" s="92" t="n">
        <v>0</v>
      </c>
      <c r="G16" s="91" t="inlineStr">
        <is>
          <t>45.37</t>
        </is>
      </c>
      <c r="H16" s="91" t="inlineStr">
        <is>
          <t>AI - Desktop Automation</t>
        </is>
      </c>
      <c r="I16" s="93" t="inlineStr">
        <is>
          <t>UNKNOWN</t>
        </is>
      </c>
      <c r="J16" s="92" t="n">
        <v>0</v>
      </c>
    </row>
    <row r="17">
      <c r="B17" s="91" t="inlineStr"/>
      <c r="C17" s="91" t="inlineStr">
        <is>
          <t>Apple</t>
        </is>
      </c>
      <c r="D17" s="91" t="inlineStr">
        <is>
          <t>Unknown</t>
        </is>
      </c>
      <c r="E17" s="91" t="inlineStr">
        <is>
          <t>Annual Subscription</t>
        </is>
      </c>
      <c r="F17" s="92" t="n">
        <v>0</v>
      </c>
      <c r="G17" s="91" t="inlineStr">
        <is>
          <t>15.40833333333333</t>
        </is>
      </c>
      <c r="H17" s="91" t="inlineStr">
        <is>
          <t>Creative/Productivity</t>
        </is>
      </c>
      <c r="I17" s="93" t="inlineStr">
        <is>
          <t>LOW</t>
        </is>
      </c>
      <c r="J17" s="92" t="n">
        <v>0</v>
      </c>
    </row>
    <row r="18">
      <c r="B18" s="91" t="inlineStr"/>
      <c r="C18" s="91" t="inlineStr">
        <is>
          <t>Apple</t>
        </is>
      </c>
      <c r="D18" s="91" t="inlineStr">
        <is>
          <t>Unknown</t>
        </is>
      </c>
      <c r="E18" s="91" t="inlineStr">
        <is>
          <t>SuperGrok</t>
        </is>
      </c>
      <c r="F18" s="92" t="n">
        <v>0</v>
      </c>
      <c r="G18" s="91" t="inlineStr">
        <is>
          <t>149.9</t>
        </is>
      </c>
      <c r="H18" s="91" t="inlineStr">
        <is>
          <t>AI - General/Media</t>
        </is>
      </c>
      <c r="I18" s="93" t="inlineStr">
        <is>
          <t>HIGH</t>
        </is>
      </c>
      <c r="J18" s="92" t="n">
        <v>0</v>
      </c>
    </row>
    <row r="19">
      <c r="B19" s="91" t="inlineStr"/>
      <c r="C19" s="91" t="inlineStr">
        <is>
          <t>Apple</t>
        </is>
      </c>
      <c r="D19" s="91" t="inlineStr">
        <is>
          <t>Unknown</t>
        </is>
      </c>
      <c r="E19" s="91" t="inlineStr">
        <is>
          <t>200 GB storage</t>
        </is>
      </c>
      <c r="F19" s="92" t="n">
        <v>0</v>
      </c>
      <c r="G19" s="91" t="inlineStr">
        <is>
          <t>19.9</t>
        </is>
      </c>
      <c r="H19" s="91" t="inlineStr">
        <is>
          <t>Cloud/Storage</t>
        </is>
      </c>
      <c r="I19" s="93" t="inlineStr">
        <is>
          <t>LOW</t>
        </is>
      </c>
      <c r="J19" s="92" t="n">
        <v>0</v>
      </c>
    </row>
    <row r="20">
      <c r="B20" s="91" t="inlineStr"/>
      <c r="C20" s="91" t="inlineStr">
        <is>
          <t>Apple</t>
        </is>
      </c>
      <c r="D20" s="91" t="inlineStr">
        <is>
          <t>Unknown</t>
        </is>
      </c>
      <c r="E20" s="91" t="inlineStr">
        <is>
          <t>Personal</t>
        </is>
      </c>
      <c r="F20" s="92" t="n">
        <v>0</v>
      </c>
      <c r="G20" s="91" t="inlineStr">
        <is>
          <t>42.41666666666666</t>
        </is>
      </c>
      <c r="H20" s="91" t="inlineStr">
        <is>
          <t>Productivity/Cloud</t>
        </is>
      </c>
      <c r="I20" s="93" t="inlineStr">
        <is>
          <t>MEDIUM</t>
        </is>
      </c>
      <c r="J20" s="92" t="n">
        <v>0</v>
      </c>
    </row>
    <row r="21">
      <c r="B21" s="91" t="inlineStr"/>
      <c r="C21" s="91" t="inlineStr">
        <is>
          <t>Apple</t>
        </is>
      </c>
      <c r="D21" s="91" t="inlineStr">
        <is>
          <t>Unknown</t>
        </is>
      </c>
      <c r="E21" s="91" t="inlineStr">
        <is>
          <t>Auto-renewable Subscription</t>
        </is>
      </c>
      <c r="F21" s="92" t="n">
        <v>0</v>
      </c>
      <c r="G21" s="91" t="inlineStr">
        <is>
          <t>28.325</t>
        </is>
      </c>
      <c r="H21" s="91" t="inlineStr">
        <is>
          <t>Security/VPN</t>
        </is>
      </c>
      <c r="I21" s="93" t="inlineStr">
        <is>
          <t>LOW</t>
        </is>
      </c>
      <c r="J21" s="92" t="n">
        <v>0</v>
      </c>
    </row>
    <row r="22">
      <c r="B22" s="91" t="inlineStr"/>
      <c r="C22" s="91" t="inlineStr">
        <is>
          <t>Apple</t>
        </is>
      </c>
      <c r="D22" s="91" t="inlineStr">
        <is>
          <t>Unknown</t>
        </is>
      </c>
      <c r="E22" s="91" t="inlineStr">
        <is>
          <t>Perplexity Pro for Mac</t>
        </is>
      </c>
      <c r="F22" s="92" t="n">
        <v>0</v>
      </c>
      <c r="G22" s="91" t="inlineStr">
        <is>
          <t>99.9</t>
        </is>
      </c>
      <c r="H22" s="91" t="inlineStr">
        <is>
          <t>AI - Research Assistant</t>
        </is>
      </c>
      <c r="I22" s="93" t="inlineStr">
        <is>
          <t>HIGH</t>
        </is>
      </c>
      <c r="J22" s="92" t="n">
        <v>0</v>
      </c>
    </row>
    <row r="23">
      <c r="B23" s="91" t="inlineStr"/>
      <c r="C23" s="91" t="inlineStr">
        <is>
          <t>Apple</t>
        </is>
      </c>
      <c r="D23" s="91" t="inlineStr">
        <is>
          <t>Unknown</t>
        </is>
      </c>
      <c r="E23" s="91" t="inlineStr">
        <is>
          <t>TuneIn Premium</t>
        </is>
      </c>
      <c r="F23" s="92" t="n">
        <v>0</v>
      </c>
      <c r="G23" s="91" t="inlineStr">
        <is>
          <t>31.9</t>
        </is>
      </c>
      <c r="H23" s="91" t="inlineStr">
        <is>
          <t>Entertainment</t>
        </is>
      </c>
      <c r="I23" s="93" t="inlineStr">
        <is>
          <t>LOW</t>
        </is>
      </c>
      <c r="J23" s="92" t="n">
        <v>0</v>
      </c>
    </row>
    <row r="24">
      <c r="B24" s="91" t="inlineStr"/>
      <c r="C24" s="91" t="inlineStr">
        <is>
          <t>KEEP TOTAL/MONTH</t>
        </is>
      </c>
      <c r="D24" s="91" t="inlineStr"/>
      <c r="E24" s="91" t="inlineStr">
        <is>
          <t>BRL</t>
        </is>
      </c>
      <c r="F24" s="92" t="n">
        <v>0</v>
      </c>
      <c r="G24" s="91" t="inlineStr"/>
      <c r="H24" s="91" t="inlineStr"/>
      <c r="I24" s="93" t="inlineStr">
        <is>
          <t>REVIEW</t>
        </is>
      </c>
      <c r="J24" s="92" t="n">
        <v>0</v>
      </c>
    </row>
    <row r="25">
      <c r="B25" s="91" t="inlineStr"/>
      <c r="C25" s="91" t="inlineStr">
        <is>
          <t>CANCEL SAVINGS/MONTH</t>
        </is>
      </c>
      <c r="D25" s="91" t="inlineStr"/>
      <c r="E25" s="91" t="inlineStr">
        <is>
          <t>BRL</t>
        </is>
      </c>
      <c r="F25" s="92" t="n">
        <v>0</v>
      </c>
      <c r="G25" s="91" t="inlineStr"/>
      <c r="H25" s="91" t="inlineStr"/>
      <c r="I25" s="93" t="inlineStr">
        <is>
          <t>REVIEW</t>
        </is>
      </c>
      <c r="J25" s="92" t="n">
        <v>0</v>
      </c>
    </row>
    <row r="26">
      <c r="B26" s="91" t="inlineStr"/>
      <c r="C26" s="91" t="inlineStr">
        <is>
          <t>REVIEW TOTAL/MONTH</t>
        </is>
      </c>
      <c r="D26" s="91" t="inlineStr"/>
      <c r="E26" s="91" t="inlineStr">
        <is>
          <t>BRL</t>
        </is>
      </c>
      <c r="F26" s="92" t="n">
        <v>0</v>
      </c>
      <c r="G26" s="91" t="inlineStr"/>
      <c r="H26" s="91" t="inlineStr"/>
      <c r="I26" s="93" t="inlineStr">
        <is>
          <t>REVIEW</t>
        </is>
      </c>
      <c r="J26" s="92" t="n">
        <v>0</v>
      </c>
    </row>
    <row r="29" ht="16" customHeight="1">
      <c r="B29" s="28" t="inlineStr">
        <is>
          <t xml:space="preserve">  DECISION SUMMARY</t>
        </is>
      </c>
      <c r="C29" s="29" t="n"/>
      <c r="D29" s="29" t="n"/>
      <c r="E29" s="29" t="n"/>
      <c r="F29" s="29" t="n"/>
      <c r="G29" s="29" t="n"/>
      <c r="H29" s="29" t="n"/>
      <c r="I29" s="30" t="n"/>
    </row>
    <row r="30" ht="16" customHeight="1">
      <c r="B30" s="6" t="inlineStr">
        <is>
          <t>KEEP/month</t>
        </is>
      </c>
      <c r="C30" s="7" t="n"/>
      <c r="D30" s="6" t="inlineStr">
        <is>
          <t>CANCEL/month</t>
        </is>
      </c>
      <c r="E30" s="7" t="n"/>
      <c r="F30" s="6" t="inlineStr">
        <is>
          <t>REVIEW/month</t>
        </is>
      </c>
      <c r="G30" s="7" t="n"/>
      <c r="H30" s="6" t="inlineStr">
        <is>
          <t>TOTAL/month</t>
        </is>
      </c>
      <c r="I30" s="7" t="n"/>
    </row>
    <row r="31" ht="30" customHeight="1">
      <c r="B31" s="94" t="n">
        <v>0</v>
      </c>
      <c r="C31" s="7" t="n"/>
      <c r="D31" s="95" t="n">
        <v>0</v>
      </c>
      <c r="E31" s="7" t="n"/>
      <c r="F31" s="96" t="n">
        <v>0</v>
      </c>
      <c r="G31" s="7" t="n"/>
      <c r="H31" s="8" t="n">
        <v>0</v>
      </c>
      <c r="I31" s="7" t="n"/>
    </row>
  </sheetData>
  <mergeCells count="19">
    <mergeCell ref="F4:G4"/>
    <mergeCell ref="B7:I7"/>
    <mergeCell ref="B3:C3"/>
    <mergeCell ref="H4:I4"/>
    <mergeCell ref="H31:I31"/>
    <mergeCell ref="B31:C31"/>
    <mergeCell ref="D31:E31"/>
    <mergeCell ref="F3:G3"/>
    <mergeCell ref="F30:G30"/>
    <mergeCell ref="B1:I1"/>
    <mergeCell ref="B29:I29"/>
    <mergeCell ref="F31:G31"/>
    <mergeCell ref="D4:E4"/>
    <mergeCell ref="D3:E3"/>
    <mergeCell ref="H3:I3"/>
    <mergeCell ref="B30:C30"/>
    <mergeCell ref="D30:E30"/>
    <mergeCell ref="B4:C4"/>
    <mergeCell ref="H30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1B22"/>
    <outlinePr summaryBelow="1" summaryRight="1"/>
    <pageSetUpPr/>
  </sheetPr>
  <dimension ref="B1:G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28" customWidth="1" min="4" max="4"/>
    <col width="14" customWidth="1" min="5" max="5"/>
    <col width="14" customWidth="1" min="6" max="6"/>
    <col width="14" customWidth="1" min="7" max="7"/>
  </cols>
  <sheetData>
    <row r="1" ht="30" customHeight="1">
      <c r="B1" s="27" t="inlineStr">
        <is>
          <t xml:space="preserve">  CASH BRIDGE  ·  Banco Inter Account 6627102  ·  PIX + FX Reconciliation</t>
        </is>
      </c>
      <c r="C1" s="4" t="n"/>
      <c r="D1" s="4" t="n"/>
      <c r="E1" s="4" t="n"/>
      <c r="F1" s="5" t="n"/>
    </row>
    <row r="3" ht="16" customHeight="1">
      <c r="B3" s="6" t="inlineStr">
        <is>
          <t>PIX IN</t>
        </is>
      </c>
      <c r="C3" s="7" t="n"/>
      <c r="D3" s="6" t="inlineStr">
        <is>
          <t>PIX OUT</t>
        </is>
      </c>
      <c r="E3" s="7" t="n"/>
      <c r="F3" s="6" t="inlineStr">
        <is>
          <t>NET PIX</t>
        </is>
      </c>
    </row>
    <row r="4" ht="30" customHeight="1">
      <c r="B4" s="8" t="n">
        <v>237010</v>
      </c>
      <c r="C4" s="7" t="n"/>
      <c r="D4" s="8" t="n">
        <v>92162.38</v>
      </c>
      <c r="E4" s="7" t="n"/>
      <c r="F4" s="94" t="n">
        <v>144847.62</v>
      </c>
    </row>
    <row r="6" ht="8" customHeight="1"/>
    <row r="7" ht="16" customHeight="1">
      <c r="B7" s="6" t="inlineStr">
        <is>
          <t>FX/CÂMBIO OUT</t>
        </is>
      </c>
      <c r="C7" s="7" t="n"/>
      <c r="D7" s="6" t="inlineStr">
        <is>
          <t>IOF PAID</t>
        </is>
      </c>
      <c r="E7" s="7" t="n"/>
      <c r="F7" s="6" t="inlineStr">
        <is>
          <t>FINAL BALANCE</t>
        </is>
      </c>
    </row>
    <row r="8" ht="30" customHeight="1">
      <c r="B8" s="8" t="n">
        <v>0</v>
      </c>
      <c r="C8" s="7" t="n"/>
      <c r="D8" s="8" t="n">
        <v>0</v>
      </c>
      <c r="E8" s="7" t="n"/>
      <c r="F8" s="97" t="n">
        <v>18934.67</v>
      </c>
    </row>
    <row r="10" ht="8" customHeight="1"/>
    <row r="11" ht="16" customHeight="1">
      <c r="B11" s="28" t="inlineStr">
        <is>
          <t xml:space="preserve">  MOVEMENT LOG</t>
        </is>
      </c>
      <c r="C11" s="29" t="n"/>
      <c r="D11" s="29" t="n"/>
      <c r="E11" s="29" t="n"/>
      <c r="F11" s="30" t="n"/>
    </row>
    <row r="12" ht="18" customHeight="1">
      <c r="B12" s="11" t="inlineStr">
        <is>
          <t>Date</t>
        </is>
      </c>
      <c r="C12" s="11" t="inlineStr">
        <is>
          <t>Type</t>
        </is>
      </c>
      <c r="D12" s="11" t="inlineStr">
        <is>
          <t>Description</t>
        </is>
      </c>
      <c r="E12" s="11" t="inlineStr">
        <is>
          <t>PIX (R$)</t>
        </is>
      </c>
      <c r="F12" s="11" t="inlineStr">
        <is>
          <t>FX (R$)</t>
        </is>
      </c>
      <c r="G12" s="11" t="inlineStr">
        <is>
          <t>IOF (R$)</t>
        </is>
      </c>
    </row>
    <row r="13">
      <c r="B13" s="188" t="n">
        <v>46201</v>
      </c>
      <c r="C13" s="32" t="inlineStr">
        <is>
          <t>PIX In</t>
        </is>
      </c>
      <c r="D13" s="32" t="inlineStr">
        <is>
          <t>Eduardo Forster Giovannini</t>
        </is>
      </c>
      <c r="E13" s="90" t="n">
        <v>2000</v>
      </c>
      <c r="F13" s="77" t="n"/>
      <c r="G13" s="77" t="n"/>
    </row>
    <row r="14">
      <c r="B14" s="187" t="n">
        <v>46201</v>
      </c>
      <c r="C14" s="35" t="inlineStr">
        <is>
          <t>PIX In</t>
        </is>
      </c>
      <c r="D14" s="35" t="inlineStr">
        <is>
          <t>Eduardo F Giovannini</t>
        </is>
      </c>
      <c r="E14" s="88" t="n">
        <v>40000</v>
      </c>
      <c r="F14" s="78" t="n"/>
      <c r="G14" s="78" t="n"/>
    </row>
    <row r="15">
      <c r="B15" s="188" t="n">
        <v>46198</v>
      </c>
      <c r="C15" s="32" t="inlineStr">
        <is>
          <t>PIX In</t>
        </is>
      </c>
      <c r="D15" s="32" t="inlineStr">
        <is>
          <t>Eduardo F Giovannini</t>
        </is>
      </c>
      <c r="E15" s="90" t="n">
        <v>10</v>
      </c>
      <c r="F15" s="77" t="n"/>
      <c r="G15" s="77" t="n"/>
    </row>
    <row r="16">
      <c r="B16" s="187" t="n">
        <v>46178</v>
      </c>
      <c r="C16" s="35" t="inlineStr">
        <is>
          <t>PIX Out</t>
        </is>
      </c>
      <c r="D16" s="35" t="inlineStr">
        <is>
          <t>Eduardo Silva Dos Santos</t>
        </is>
      </c>
      <c r="E16" s="40" t="n">
        <v>-480</v>
      </c>
      <c r="F16" s="78" t="n"/>
      <c r="G16" s="78" t="n"/>
    </row>
    <row r="17">
      <c r="B17" s="188" t="n">
        <v>46170</v>
      </c>
      <c r="C17" s="32" t="inlineStr">
        <is>
          <t>PIX Out</t>
        </is>
      </c>
      <c r="D17" s="32" t="inlineStr">
        <is>
          <t>Eduardo Silva Dos Santos</t>
        </is>
      </c>
      <c r="E17" s="89" t="n">
        <v>-450</v>
      </c>
      <c r="F17" s="77" t="n"/>
      <c r="G17" s="77" t="n"/>
    </row>
    <row r="18">
      <c r="B18" s="187" t="n">
        <v>46167</v>
      </c>
      <c r="C18" s="35" t="inlineStr">
        <is>
          <t>PIX Out</t>
        </is>
      </c>
      <c r="D18" s="35" t="inlineStr">
        <is>
          <t>Eduardo Silva Dos Santos</t>
        </is>
      </c>
      <c r="E18" s="40" t="n">
        <v>-470</v>
      </c>
      <c r="F18" s="78" t="n"/>
      <c r="G18" s="78" t="n"/>
    </row>
    <row r="19">
      <c r="B19" s="188" t="n">
        <v>46166</v>
      </c>
      <c r="C19" s="32" t="inlineStr">
        <is>
          <t>PIX Out</t>
        </is>
      </c>
      <c r="D19" s="32" t="inlineStr">
        <is>
          <t>Moacir Jose De Morais Filho</t>
        </is>
      </c>
      <c r="E19" s="89" t="n">
        <v>-700</v>
      </c>
      <c r="F19" s="77" t="n"/>
      <c r="G19" s="77" t="n"/>
    </row>
    <row r="20">
      <c r="B20" s="187" t="n">
        <v>46164</v>
      </c>
      <c r="C20" s="35" t="inlineStr">
        <is>
          <t>PIX Out</t>
        </is>
      </c>
      <c r="D20" s="35" t="inlineStr">
        <is>
          <t>Lucas Rique Chaves Bezerra</t>
        </is>
      </c>
      <c r="E20" s="40" t="n">
        <v>-1500</v>
      </c>
      <c r="F20" s="78" t="n"/>
      <c r="G20" s="78" t="n"/>
    </row>
    <row r="21">
      <c r="B21" s="188" t="n">
        <v>46164</v>
      </c>
      <c r="C21" s="32" t="inlineStr">
        <is>
          <t>PIX Out</t>
        </is>
      </c>
      <c r="D21" s="32" t="inlineStr">
        <is>
          <t>Lucas Rique Chaves Bezerra</t>
        </is>
      </c>
      <c r="E21" s="89" t="n">
        <v>-500</v>
      </c>
      <c r="F21" s="77" t="n"/>
      <c r="G21" s="77" t="n"/>
    </row>
    <row r="22">
      <c r="B22" s="187" t="n">
        <v>46164</v>
      </c>
      <c r="C22" s="35" t="inlineStr">
        <is>
          <t>PIX Out</t>
        </is>
      </c>
      <c r="D22" s="35" t="inlineStr">
        <is>
          <t>Sbct Tech Solutions Llc</t>
        </is>
      </c>
      <c r="E22" s="40" t="n">
        <v>-45000</v>
      </c>
      <c r="F22" s="78" t="n"/>
      <c r="G22" s="78" t="n"/>
    </row>
    <row r="23">
      <c r="B23" s="188" t="n">
        <v>46160</v>
      </c>
      <c r="C23" s="32" t="inlineStr">
        <is>
          <t>PIX In</t>
        </is>
      </c>
      <c r="D23" s="32" t="inlineStr">
        <is>
          <t>Eduardo F Giovannini</t>
        </is>
      </c>
      <c r="E23" s="90" t="n">
        <v>35000</v>
      </c>
      <c r="F23" s="77" t="n"/>
      <c r="G23" s="77" t="n"/>
    </row>
    <row r="24">
      <c r="B24" s="187" t="n">
        <v>46160</v>
      </c>
      <c r="C24" s="35" t="inlineStr">
        <is>
          <t>PIX Out</t>
        </is>
      </c>
      <c r="D24" s="35" t="inlineStr">
        <is>
          <t>Eduardo Giovannini</t>
        </is>
      </c>
      <c r="E24" s="40" t="n">
        <v>-20000</v>
      </c>
      <c r="F24" s="78" t="n"/>
      <c r="G24" s="78" t="n"/>
    </row>
    <row r="25">
      <c r="B25" s="188" t="n">
        <v>46157</v>
      </c>
      <c r="C25" s="32" t="inlineStr">
        <is>
          <t>PIX Out</t>
        </is>
      </c>
      <c r="D25" s="32" t="inlineStr">
        <is>
          <t>Wise Brasil Corretora De Cambio Ltda</t>
        </is>
      </c>
      <c r="E25" s="89" t="n">
        <v>-1299.97</v>
      </c>
      <c r="F25" s="77" t="n"/>
      <c r="G25" s="77" t="n"/>
    </row>
    <row r="26">
      <c r="B26" s="187" t="n">
        <v>46153</v>
      </c>
      <c r="C26" s="35" t="inlineStr">
        <is>
          <t>PIX In</t>
        </is>
      </c>
      <c r="D26" s="35" t="inlineStr">
        <is>
          <t>Eduardo F Giovannini</t>
        </is>
      </c>
      <c r="E26" s="88" t="n">
        <v>40000</v>
      </c>
      <c r="F26" s="78" t="n"/>
      <c r="G26" s="78" t="n"/>
    </row>
    <row r="27">
      <c r="B27" s="188" t="n">
        <v>46150</v>
      </c>
      <c r="C27" s="32" t="inlineStr">
        <is>
          <t>PIX In</t>
        </is>
      </c>
      <c r="D27" s="32" t="inlineStr">
        <is>
          <t>Eduardo F Giovannini</t>
        </is>
      </c>
      <c r="E27" s="90" t="n">
        <v>40000</v>
      </c>
      <c r="F27" s="77" t="n"/>
      <c r="G27" s="77" t="n"/>
    </row>
    <row r="28">
      <c r="B28" s="187" t="n">
        <v>46140</v>
      </c>
      <c r="C28" s="35" t="inlineStr">
        <is>
          <t>PIX In</t>
        </is>
      </c>
      <c r="D28" s="35" t="inlineStr">
        <is>
          <t>Eduardo F Giovannini</t>
        </is>
      </c>
      <c r="E28" s="88" t="n">
        <v>40000</v>
      </c>
      <c r="F28" s="78" t="n"/>
      <c r="G28" s="78" t="n"/>
    </row>
    <row r="29">
      <c r="B29" s="188" t="n">
        <v>46140</v>
      </c>
      <c r="C29" s="32" t="inlineStr">
        <is>
          <t>PIX Out</t>
        </is>
      </c>
      <c r="D29" s="32" t="inlineStr">
        <is>
          <t>Gloria Raquel M C Nobrega</t>
        </is>
      </c>
      <c r="E29" s="89" t="n">
        <v>-50</v>
      </c>
      <c r="F29" s="77" t="n"/>
      <c r="G29" s="77" t="n"/>
    </row>
    <row r="30">
      <c r="B30" s="187" t="n">
        <v>46140</v>
      </c>
      <c r="C30" s="35" t="inlineStr">
        <is>
          <t>PIX Out</t>
        </is>
      </c>
      <c r="D30" s="35" t="inlineStr">
        <is>
          <t>Mag Administracao De Negocios Ltda</t>
        </is>
      </c>
      <c r="E30" s="40" t="n">
        <v>-10</v>
      </c>
      <c r="F30" s="78" t="n"/>
      <c r="G30" s="78" t="n"/>
    </row>
    <row r="31">
      <c r="B31" s="188" t="n">
        <v>46140</v>
      </c>
      <c r="C31" s="32" t="inlineStr">
        <is>
          <t>PIX Out</t>
        </is>
      </c>
      <c r="D31" s="32" t="inlineStr">
        <is>
          <t>Eduardo Silva Dos Santos</t>
        </is>
      </c>
      <c r="E31" s="89" t="n">
        <v>-470</v>
      </c>
      <c r="F31" s="77" t="n"/>
      <c r="G31" s="77" t="n"/>
    </row>
    <row r="32">
      <c r="B32" s="187" t="n">
        <v>46136</v>
      </c>
      <c r="C32" s="35" t="inlineStr">
        <is>
          <t>PIX Out</t>
        </is>
      </c>
      <c r="D32" s="35" t="inlineStr">
        <is>
          <t>37202818 Jose Periclis De Sousa Da Costa</t>
        </is>
      </c>
      <c r="E32" s="40" t="n">
        <v>-6800</v>
      </c>
      <c r="F32" s="78" t="n"/>
      <c r="G32" s="78" t="n"/>
    </row>
    <row r="33">
      <c r="B33" s="188" t="n">
        <v>46133</v>
      </c>
      <c r="C33" s="32" t="inlineStr">
        <is>
          <t>PIX Out</t>
        </is>
      </c>
      <c r="D33" s="32" t="inlineStr">
        <is>
          <t>Eduardo Forster Giovannini</t>
        </is>
      </c>
      <c r="E33" s="89" t="n">
        <v>-3000</v>
      </c>
      <c r="F33" s="77" t="n"/>
      <c r="G33" s="77" t="n"/>
    </row>
    <row r="34">
      <c r="B34" s="187" t="n">
        <v>46101</v>
      </c>
      <c r="C34" s="35" t="inlineStr">
        <is>
          <t>PIX Out</t>
        </is>
      </c>
      <c r="D34" s="35" t="inlineStr">
        <is>
          <t>Eduardo Silva Dos Santos</t>
        </is>
      </c>
      <c r="E34" s="40" t="n">
        <v>-350</v>
      </c>
      <c r="F34" s="78" t="n"/>
      <c r="G34" s="78" t="n"/>
    </row>
    <row r="35">
      <c r="B35" s="188" t="n">
        <v>46098</v>
      </c>
      <c r="C35" s="32" t="inlineStr">
        <is>
          <t>PIX Out</t>
        </is>
      </c>
      <c r="D35" s="32" t="inlineStr">
        <is>
          <t>Iago Kevyn Santos Moura</t>
        </is>
      </c>
      <c r="E35" s="89" t="n">
        <v>-500</v>
      </c>
      <c r="F35" s="77" t="n"/>
      <c r="G35" s="77" t="n"/>
    </row>
    <row r="36">
      <c r="B36" s="187" t="n">
        <v>46096</v>
      </c>
      <c r="C36" s="35" t="inlineStr">
        <is>
          <t>PIX Out</t>
        </is>
      </c>
      <c r="D36" s="35" t="inlineStr">
        <is>
          <t>Eduardo Forster Giovannini</t>
        </is>
      </c>
      <c r="E36" s="40" t="n">
        <v>-6000</v>
      </c>
      <c r="F36" s="78" t="n"/>
      <c r="G36" s="78" t="n"/>
    </row>
    <row r="37">
      <c r="B37" s="188" t="n">
        <v>46096</v>
      </c>
      <c r="C37" s="32" t="inlineStr">
        <is>
          <t>PIX Out</t>
        </is>
      </c>
      <c r="D37" s="32" t="inlineStr">
        <is>
          <t>Mercado Pago Instituicao De Pagamento Ltda</t>
        </is>
      </c>
      <c r="E37" s="89" t="n">
        <v>-4582.41</v>
      </c>
      <c r="F37" s="77" t="n"/>
      <c r="G37" s="77" t="n"/>
    </row>
    <row r="38">
      <c r="B38" s="187" t="n">
        <v>46064</v>
      </c>
      <c r="C38" s="35" t="inlineStr">
        <is>
          <t>PIX In</t>
        </is>
      </c>
      <c r="D38" s="35" t="inlineStr">
        <is>
          <t>Eduardo F Giovannini</t>
        </is>
      </c>
      <c r="E38" s="88" t="n">
        <v>40000</v>
      </c>
      <c r="F38" s="78" t="n"/>
      <c r="G38" s="78" t="n"/>
    </row>
  </sheetData>
  <mergeCells count="10">
    <mergeCell ref="D8:E8"/>
    <mergeCell ref="B8:C8"/>
    <mergeCell ref="D7:E7"/>
    <mergeCell ref="B7:C7"/>
    <mergeCell ref="B3:C3"/>
    <mergeCell ref="B11:F11"/>
    <mergeCell ref="D4:E4"/>
    <mergeCell ref="B1:F1"/>
    <mergeCell ref="D3:E3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1A1A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6" customWidth="1" min="4" max="4"/>
    <col width="40" customWidth="1" min="5" max="5"/>
    <col width="16" customWidth="1" min="6" max="6"/>
    <col width="40" customWidth="1" min="7" max="7"/>
    <col width="16" customWidth="1" min="8" max="8"/>
  </cols>
  <sheetData>
    <row r="1" ht="30" customHeight="1">
      <c r="B1" s="27" t="inlineStr">
        <is>
          <t xml:space="preserve">  RISK &amp; ACTION REGISTER  ·  Wealth Management  ·  Q3 2026</t>
        </is>
      </c>
      <c r="C1" s="4" t="n"/>
      <c r="D1" s="4" t="n"/>
      <c r="E1" s="4" t="n"/>
      <c r="F1" s="4" t="n"/>
      <c r="G1" s="5" t="n"/>
    </row>
    <row r="3" ht="18" customHeight="1">
      <c r="B3" s="11" t="inlineStr">
        <is>
          <t>#</t>
        </is>
      </c>
      <c r="C3" s="11" t="inlineStr">
        <is>
          <t>Severity</t>
        </is>
      </c>
      <c r="D3" s="11" t="inlineStr">
        <is>
          <t>Domain</t>
        </is>
      </c>
      <c r="E3" s="11" t="inlineStr">
        <is>
          <t>Finding</t>
        </is>
      </c>
      <c r="F3" s="11" t="inlineStr">
        <is>
          <t>BRL Exposure</t>
        </is>
      </c>
      <c r="G3" s="11" t="inlineStr">
        <is>
          <t>Recommended Action</t>
        </is>
      </c>
      <c r="H3" s="11" t="inlineStr">
        <is>
          <t>Status</t>
        </is>
      </c>
    </row>
    <row r="4" ht="28" customHeight="1">
      <c r="B4" s="98" t="n">
        <v>1</v>
      </c>
      <c r="C4" s="99" t="inlineStr">
        <is>
          <t>CRITICAL</t>
        </is>
      </c>
      <c r="D4" s="100" t="inlineStr">
        <is>
          <t>Subscriptions</t>
        </is>
      </c>
      <c r="E4" s="101" t="inlineStr">
        <is>
          <t>4 services flagged CANCEL: Claude x2 (0/mo), Grok (R$149.90/mo), TuneIn (R$31.90/mo). Total savings: R$0/mo · R$0/yr</t>
        </is>
      </c>
      <c r="F4" s="102" t="n"/>
      <c r="G4" s="101" t="inlineStr">
        <is>
          <t>Cancel all 4 before next billing cycle. Verify via Apple Subscriptions + app accounts</t>
        </is>
      </c>
      <c r="H4" s="98" t="inlineStr">
        <is>
          <t>⏳ Pending</t>
        </is>
      </c>
    </row>
    <row r="5" ht="28" customHeight="1">
      <c r="B5" s="98" t="n">
        <v>2</v>
      </c>
      <c r="C5" s="99" t="inlineStr">
        <is>
          <t>CRITICAL</t>
        </is>
      </c>
      <c r="D5" s="100" t="inlineStr">
        <is>
          <t>FX Reconciliation</t>
        </is>
      </c>
      <c r="E5" s="101" t="inlineStr">
        <is>
          <t>R$652,789 sent to USA Own Account (67995 nature). Validate balances in USD account vs BCB records. 22 operations Jan–Jun</t>
        </is>
      </c>
      <c r="F5" s="103" t="n">
        <v>652788.61</v>
      </c>
      <c r="G5" s="101" t="inlineStr">
        <is>
          <t>Pull USD account statement. Reconcile every BCB operation against account balance</t>
        </is>
      </c>
      <c r="H5" s="98" t="inlineStr">
        <is>
          <t>⏳ Pending</t>
        </is>
      </c>
    </row>
    <row r="6" ht="28" customHeight="1">
      <c r="B6" s="98" t="n">
        <v>3</v>
      </c>
      <c r="C6" s="99" t="inlineStr">
        <is>
          <t>CRITICAL</t>
        </is>
      </c>
      <c r="D6" s="100" t="inlineStr">
        <is>
          <t>Subscription Stack Bloat</t>
        </is>
      </c>
      <c r="E6" s="101" t="inlineStr">
        <is>
          <t>R$0/mo in REVIEW = 3 services undecided. Annual exposure R$0</t>
        </is>
      </c>
      <c r="F6" s="102" t="n"/>
      <c r="G6" s="101" t="inlineStr">
        <is>
          <t>Audit each REVIEW service this week. Set KEEP/CANCEL decision. Target: eliminate ≥3</t>
        </is>
      </c>
      <c r="H6" s="98" t="inlineStr">
        <is>
          <t>⏳ Pending</t>
        </is>
      </c>
    </row>
    <row r="7" ht="28" customHeight="1">
      <c r="B7" s="98" t="n">
        <v>4</v>
      </c>
      <c r="C7" s="99" t="inlineStr">
        <is>
          <t>HIGH</t>
        </is>
      </c>
      <c r="D7" s="100" t="inlineStr">
        <is>
          <t>Liquidity Concentration</t>
        </is>
      </c>
      <c r="E7" s="101" t="inlineStr">
        <is>
          <t>100% of liquid assets in 2 digital banks (Inter + MP = R$23,197). BB balance R$0</t>
        </is>
      </c>
      <c r="F7" s="103" t="n">
        <v>23196.9</v>
      </c>
      <c r="G7" s="101" t="inlineStr">
        <is>
          <t>Maintain R$30k+ buffer. Consider distributing across BB (Rende Fácil) and Inter</t>
        </is>
      </c>
      <c r="H7" s="98" t="inlineStr">
        <is>
          <t>⏳ Pending</t>
        </is>
      </c>
    </row>
    <row r="8" ht="28" customHeight="1">
      <c r="B8" s="98" t="n">
        <v>5</v>
      </c>
      <c r="C8" s="99" t="inlineStr">
        <is>
          <t>HIGH</t>
        </is>
      </c>
      <c r="D8" s="100" t="inlineStr">
        <is>
          <t>IOF + FX Cost</t>
        </is>
      </c>
      <c r="E8" s="101" t="inlineStr">
        <is>
          <t>R$0 IOF paid on FX operations. R$0 total câmbio through Inter</t>
        </is>
      </c>
      <c r="F8" s="102" t="n"/>
      <c r="G8" s="101" t="inlineStr">
        <is>
          <t>Review IOF rate applied per operation. Compare institutions (Wise vs Topázio vs BB)</t>
        </is>
      </c>
      <c r="H8" s="98" t="inlineStr">
        <is>
          <t>⏳ Pending</t>
        </is>
      </c>
    </row>
    <row r="9" ht="28" customHeight="1">
      <c r="B9" s="98" t="n">
        <v>6</v>
      </c>
      <c r="C9" s="99" t="inlineStr">
        <is>
          <t>HIGH</t>
        </is>
      </c>
      <c r="D9" s="100" t="inlineStr">
        <is>
          <t>IB Withdrawal Unconfirmed</t>
        </is>
      </c>
      <c r="E9" s="101" t="inlineStr">
        <is>
          <t>R$19,196 IB withdrawal via Wise Jun/2026 (91992). Destination unconfirmed</t>
        </is>
      </c>
      <c r="F9" s="103" t="n">
        <v>19195.81</v>
      </c>
      <c r="G9" s="101" t="inlineStr">
        <is>
          <t>Confirm whether funds returned to Inter checking or redeployed in IB</t>
        </is>
      </c>
      <c r="H9" s="98" t="inlineStr">
        <is>
          <t>⏳ Pending</t>
        </is>
      </c>
    </row>
    <row r="10" ht="28" customHeight="1">
      <c r="B10" s="98" t="n">
        <v>7</v>
      </c>
      <c r="C10" s="99" t="inlineStr">
        <is>
          <t>HIGH</t>
        </is>
      </c>
      <c r="D10" s="100" t="inlineStr">
        <is>
          <t>Lottery/Gambling Spend</t>
        </is>
      </c>
      <c r="E10" s="101" t="inlineStr">
        <is>
          <t>R$6,455 in Loteria charges on MP card 2026. No budget cap set</t>
        </is>
      </c>
      <c r="F10" s="103" t="n">
        <v>6455.1</v>
      </c>
      <c r="G10" s="101" t="inlineStr">
        <is>
          <t>Set monthly Loteria limit (e.g. R$500). Remove from card if over limit</t>
        </is>
      </c>
      <c r="H10" s="98" t="inlineStr">
        <is>
          <t>⏳ Pending</t>
        </is>
      </c>
    </row>
    <row r="11" ht="28" customHeight="1">
      <c r="B11" s="98" t="n">
        <v>8</v>
      </c>
      <c r="C11" s="99" t="inlineStr">
        <is>
          <t>MEDIUM</t>
        </is>
      </c>
      <c r="D11" s="100" t="inlineStr">
        <is>
          <t>AI/Tech Card Overlap</t>
        </is>
      </c>
      <c r="E11" s="101" t="inlineStr">
        <is>
          <t>R$6,624 charged via card on IA/Tech. Likely duplicates subscription stack</t>
        </is>
      </c>
      <c r="F11" s="103" t="n">
        <v>6624.360000000001</v>
      </c>
      <c r="G11" s="101" t="inlineStr">
        <is>
          <t>Cross-match card IA charges vs subscription list. Consolidate to single billing method</t>
        </is>
      </c>
      <c r="H11" s="98" t="inlineStr">
        <is>
          <t>⏳ Pending</t>
        </is>
      </c>
    </row>
    <row r="12" ht="28" customHeight="1">
      <c r="B12" s="98" t="n">
        <v>9</v>
      </c>
      <c r="C12" s="99" t="inlineStr">
        <is>
          <t>MEDIUM</t>
        </is>
      </c>
      <c r="D12" s="100" t="inlineStr">
        <is>
          <t>Travel/Viagem Spend</t>
        </is>
      </c>
      <c r="E12" s="101" t="inlineStr">
        <is>
          <t>R$9,037 in travel charges. Review vs business vs personal</t>
        </is>
      </c>
      <c r="F12" s="103" t="n">
        <v>9036.83</v>
      </c>
      <c r="G12" s="101" t="inlineStr">
        <is>
          <t>Classify each travel expense: business vs personal. Flag deductible items</t>
        </is>
      </c>
      <c r="H12" s="98" t="inlineStr">
        <is>
          <t>⏳ Pending</t>
        </is>
      </c>
    </row>
    <row r="13" ht="28" customHeight="1">
      <c r="B13" s="98" t="n">
        <v>10</v>
      </c>
      <c r="C13" s="99" t="inlineStr">
        <is>
          <t>MEDIUM</t>
        </is>
      </c>
      <c r="D13" s="100" t="inlineStr">
        <is>
          <t>ML Compras Volume</t>
        </is>
      </c>
      <c r="E13" s="101" t="inlineStr">
        <is>
          <t>R$31,570 in Mercado Livre purchases (69 items). Strong Home Office + CPAP pattern</t>
        </is>
      </c>
      <c r="F13" s="103" t="n">
        <v>31570.45</v>
      </c>
      <c r="G13" s="101" t="inlineStr">
        <is>
          <t>Tag each purchase as CAPEX (equipment), HEALTH, or CONSUMABLE for tax/tracking</t>
        </is>
      </c>
      <c r="H13" s="98" t="inlineStr">
        <is>
          <t>⏳ Pending</t>
        </is>
      </c>
    </row>
    <row r="14" ht="28" customHeight="1">
      <c r="B14" s="98" t="n">
        <v>11</v>
      </c>
      <c r="C14" s="99" t="inlineStr">
        <is>
          <t>LOW</t>
        </is>
      </c>
      <c r="D14" s="100" t="inlineStr">
        <is>
          <t>Wise Brasil Activity</t>
        </is>
      </c>
      <c r="E14" s="101" t="inlineStr">
        <is>
          <t>Multiple Wise operations detected (IB deposits + UK transfers). Ensure all reported in BACEN</t>
        </is>
      </c>
      <c r="F14" s="102" t="n"/>
      <c r="G14" s="101" t="inlineStr">
        <is>
          <t>Confirm Wise BACEN reporting compliance. Keep KYC documentation current</t>
        </is>
      </c>
      <c r="H14" s="98" t="inlineStr">
        <is>
          <t>✅ Monitor</t>
        </is>
      </c>
    </row>
    <row r="15" ht="28" customHeight="1">
      <c r="B15" s="98" t="n">
        <v>12</v>
      </c>
      <c r="C15" s="99" t="inlineStr">
        <is>
          <t>LOW</t>
        </is>
      </c>
      <c r="D15" s="100" t="inlineStr">
        <is>
          <t>SBCT Tech Solutions (USA)</t>
        </is>
      </c>
      <c r="E15" s="101" t="inlineStr">
        <is>
          <t>R$45,000 PIX Out to SBCT Tech Solutions LLC (USA company) via Inter May/2026</t>
        </is>
      </c>
      <c r="F15" s="103" t="n">
        <v>45000</v>
      </c>
      <c r="G15" s="101" t="inlineStr">
        <is>
          <t>Confirm nature of payment: service invoice? investment? Ensure documentation</t>
        </is>
      </c>
      <c r="H15" s="98" t="inlineStr">
        <is>
          <t>⏳ Pending</t>
        </is>
      </c>
    </row>
  </sheetData>
  <mergeCells count="1">
    <mergeCell ref="B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Card Spend</t>
        </is>
      </c>
      <c r="D1" t="inlineStr">
        <is>
          <t>Category</t>
        </is>
      </c>
      <c r="E1" t="inlineStr">
        <is>
          <t>Total</t>
        </is>
      </c>
      <c r="G1" t="inlineStr">
        <is>
          <t>Direction</t>
        </is>
      </c>
      <c r="H1" t="inlineStr">
        <is>
          <t>BRL</t>
        </is>
      </c>
      <c r="J1" t="inlineStr">
        <is>
          <t>Decision</t>
        </is>
      </c>
      <c r="K1" t="inlineStr">
        <is>
          <t>Monthly BRL</t>
        </is>
      </c>
    </row>
    <row r="2">
      <c r="A2" t="inlineStr">
        <is>
          <t>2026-01</t>
        </is>
      </c>
      <c r="B2" t="n">
        <v>3745.4</v>
      </c>
      <c r="D2" t="inlineStr">
        <is>
          <t>Viagem</t>
        </is>
      </c>
      <c r="E2" t="n">
        <v>9036.83</v>
      </c>
      <c r="G2" t="inlineStr">
        <is>
          <t>FX Outbound</t>
        </is>
      </c>
      <c r="H2" t="n">
        <v>652788.61</v>
      </c>
      <c r="J2" t="inlineStr">
        <is>
          <t>KEEP</t>
        </is>
      </c>
      <c r="K2" t="n">
        <v>0</v>
      </c>
    </row>
    <row r="3">
      <c r="A3" t="inlineStr">
        <is>
          <t>2026-02</t>
        </is>
      </c>
      <c r="B3" t="n">
        <v>9515.9</v>
      </c>
      <c r="D3" t="inlineStr">
        <is>
          <t>Compras/ML</t>
        </is>
      </c>
      <c r="E3" t="n">
        <v>8744.68</v>
      </c>
      <c r="G3" t="inlineStr">
        <is>
          <t>IB Deposits</t>
        </is>
      </c>
      <c r="H3" t="n">
        <v>197706.57</v>
      </c>
      <c r="J3" t="inlineStr">
        <is>
          <t>CANCEL</t>
        </is>
      </c>
      <c r="K3" t="n">
        <v>0</v>
      </c>
    </row>
    <row r="4">
      <c r="A4" t="inlineStr">
        <is>
          <t>2026-03</t>
        </is>
      </c>
      <c r="B4" t="n">
        <v>14231.47</v>
      </c>
      <c r="D4" t="inlineStr">
        <is>
          <t>IA/Tecnologia</t>
        </is>
      </c>
      <c r="E4" t="n">
        <v>6624.36</v>
      </c>
      <c r="G4" t="inlineStr">
        <is>
          <t>Fund Capital</t>
        </is>
      </c>
      <c r="H4" t="n">
        <v>175765.83</v>
      </c>
      <c r="J4" t="inlineStr">
        <is>
          <t>REVIEW</t>
        </is>
      </c>
      <c r="K4" t="n">
        <v>0</v>
      </c>
    </row>
    <row r="5">
      <c r="A5" t="inlineStr">
        <is>
          <t>2026-04</t>
        </is>
      </c>
      <c r="B5" t="n">
        <v>5330.44</v>
      </c>
      <c r="D5" t="inlineStr">
        <is>
          <t>Loteria</t>
        </is>
      </c>
      <c r="E5" t="n">
        <v>6455.1</v>
      </c>
      <c r="G5" t="inlineStr">
        <is>
          <t>Inbound</t>
        </is>
      </c>
      <c r="H5" t="n">
        <v>98857</v>
      </c>
    </row>
    <row r="6">
      <c r="A6" t="inlineStr">
        <is>
          <t>2026-05</t>
        </is>
      </c>
      <c r="B6" t="n">
        <v>3308.38</v>
      </c>
      <c r="D6" t="inlineStr">
        <is>
          <t>Outros</t>
        </is>
      </c>
      <c r="E6" t="n">
        <v>2235.58</v>
      </c>
      <c r="G6" t="inlineStr">
        <is>
          <t>IB Withdraw</t>
        </is>
      </c>
      <c r="H6" t="n">
        <v>19195.81</v>
      </c>
    </row>
    <row r="7">
      <c r="A7" t="inlineStr">
        <is>
          <t>2026-06</t>
        </is>
      </c>
      <c r="B7" t="n">
        <v>1114.17</v>
      </c>
      <c r="D7" t="inlineStr">
        <is>
          <t>Internet</t>
        </is>
      </c>
      <c r="E7" t="n">
        <v>1413.12</v>
      </c>
    </row>
    <row r="8">
      <c r="D8" t="inlineStr">
        <is>
          <t>Assinatura</t>
        </is>
      </c>
      <c r="E8" t="n">
        <v>1227.5</v>
      </c>
    </row>
    <row r="9">
      <c r="D9" t="inlineStr">
        <is>
          <t>Delivery/iFood</t>
        </is>
      </c>
      <c r="E9" t="n">
        <v>1217.92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949E"/>
    <outlinePr summaryBelow="1" summaryRight="1"/>
    <pageSetUpPr/>
  </sheetPr>
  <dimension ref="A1:T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28" customHeight="1">
      <c r="A1" s="27" t="inlineStr">
        <is>
          <t xml:space="preserve">  CHARTS  ·  Wealth Management Visual Analytics  ·  2026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5" t="n"/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2026-07-14T07:44:14Z</dcterms:created>
  <dcterms:modified xsi:type="dcterms:W3CDTF">2026-07-14T10:38:12Z</dcterms:modified>
</cp:coreProperties>
</file>