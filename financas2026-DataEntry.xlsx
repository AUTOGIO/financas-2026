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700" yWindow="9300" windowWidth="14700" windowHeight="8620" tabRatio="600" firstSheet="0" activeTab="0" autoFilterDateGrouping="1"/>
  </bookViews>
  <sheets>
    <sheet name="📋 SYNC" sheetId="1" state="visible" r:id="rId1"/>
    <sheet name="🏦 Banks" sheetId="2" state="visible" r:id="rId2"/>
    <sheet name="💳 Transactions" sheetId="3" state="visible" r:id="rId3"/>
    <sheet name="🔄 Subscriptions" sheetId="4" state="visible" r:id="rId4"/>
    <sheet name="❌ Cancel Tracker" sheetId="5" state="visible" r:id="rId5"/>
    <sheet name="🌉 Cash Bridge" sheetId="6" state="visible" r:id="rId6"/>
    <sheet name="🌍 International" sheetId="7" state="visible" r:id="rId7"/>
    <sheet name="📅 Weekly" sheetId="8" state="visible" r:id="rId8"/>
    <sheet name="📖 Instructions" sheetId="9" state="visible" r:id="rId9"/>
    <sheet name="💳 MP Faturas" sheetId="10" state="visible" r:id="rId10"/>
    <sheet name="🛒 ML iFood" sheetId="11" state="visible" r:id="rId11"/>
  </sheets>
  <definedNames>
    <definedName name="_xlnm._FilterDatabase" localSheetId="2" hidden="1">'💳 Transactions'!$B$3:$J$75</definedName>
    <definedName name="_xlnm._FilterDatabase" localSheetId="3" hidden="1">'🔄 Subscriptions'!$B$3:$L$19</definedName>
    <definedName name="_xlnm._FilterDatabase" localSheetId="6" hidden="1">'🌍 International'!$B$3:$J$35</definedName>
  </definedNames>
  <calcPr calcId="191029" fullCalcOnLoad="1"/>
</workbook>
</file>

<file path=xl/styles.xml><?xml version="1.0" encoding="utf-8"?>
<styleSheet xmlns="http://schemas.openxmlformats.org/spreadsheetml/2006/main">
  <numFmts count="5">
    <numFmt numFmtId="164" formatCode="dd/mm/yyyy"/>
    <numFmt numFmtId="165" formatCode="\R\$#,##0.00;\(\R\$#,##0.00\);&quot;-&quot;"/>
    <numFmt numFmtId="166" formatCode="\+\R\$#,##0.00;\-\R\$#,##0.00;&quot;-&quot;"/>
    <numFmt numFmtId="167" formatCode="\$#,##0.00"/>
    <numFmt numFmtId="168" formatCode="#,##0.0000"/>
  </numFmts>
  <fonts count="45">
    <font>
      <name val="Calibri"/>
      <family val="2"/>
      <color theme="1"/>
      <sz val="11"/>
      <scheme val="minor"/>
    </font>
    <font>
      <name val="Arial"/>
      <family val="2"/>
      <b val="1"/>
      <color rgb="FFFFFFFF"/>
      <sz val="15"/>
    </font>
    <font>
      <name val="Arial"/>
      <family val="2"/>
      <i val="1"/>
      <color rgb="FF9898B8"/>
      <sz val="13"/>
    </font>
    <font>
      <name val="Arial"/>
      <family val="2"/>
      <b val="1"/>
      <color rgb="FF000000"/>
      <sz val="13"/>
    </font>
    <font>
      <name val="Arial"/>
      <family val="2"/>
      <color rgb="FF0000CC"/>
      <sz val="13"/>
    </font>
    <font>
      <name val="Arial"/>
      <family val="2"/>
      <b val="1"/>
      <color rgb="FF0000CC"/>
      <sz val="13"/>
    </font>
    <font>
      <name val="Arial"/>
      <family val="2"/>
      <b val="1"/>
      <color rgb="FFFFFFFF"/>
      <sz val="13"/>
    </font>
    <font>
      <name val="Arial"/>
      <family val="2"/>
      <b val="1"/>
      <color rgb="FFD4A84B"/>
      <sz val="13"/>
    </font>
    <font>
      <name val="Arial"/>
      <family val="2"/>
      <color rgb="FF000000"/>
      <sz val="13"/>
    </font>
    <font>
      <name val="Arial"/>
      <family val="2"/>
      <color rgb="FF006600"/>
      <sz val="13"/>
    </font>
    <font>
      <name val="Arial"/>
      <family val="2"/>
      <i val="1"/>
      <color rgb="FF6B7280"/>
      <sz val="13"/>
    </font>
    <font>
      <name val="Arial"/>
      <family val="2"/>
      <i val="1"/>
      <color rgb="FF555555"/>
      <sz val="13"/>
    </font>
    <font>
      <name val="Arial"/>
      <family val="2"/>
      <i val="1"/>
      <color rgb="FF333333"/>
      <sz val="13"/>
    </font>
    <font>
      <name val="Arial"/>
      <family val="2"/>
      <b val="1"/>
      <color rgb="FF006600"/>
      <sz val="13"/>
    </font>
    <font>
      <name val="Arial"/>
      <family val="2"/>
      <i val="1"/>
      <color rgb="FF006600"/>
      <sz val="13"/>
    </font>
    <font>
      <name val="Arial"/>
      <family val="2"/>
      <color rgb="FFCC6600"/>
      <sz val="13"/>
    </font>
    <font>
      <name val="Arial"/>
      <family val="2"/>
      <i val="1"/>
      <color rgb="FFCC6600"/>
      <sz val="13"/>
    </font>
    <font>
      <name val="Arial"/>
      <family val="2"/>
      <color rgb="FF888888"/>
      <sz val="13"/>
    </font>
    <font>
      <name val="Arial"/>
      <family val="2"/>
      <i val="1"/>
      <color rgb="FF888888"/>
      <sz val="13"/>
    </font>
    <font>
      <name val="Arial"/>
      <family val="2"/>
      <b val="1"/>
      <color rgb="FF000000"/>
      <sz val="14"/>
    </font>
    <font>
      <name val="Arial"/>
      <family val="2"/>
      <b val="1"/>
      <color rgb="FF006600"/>
      <sz val="14"/>
    </font>
    <font>
      <name val="Arial"/>
      <family val="2"/>
      <i val="1"/>
      <color rgb="FF555577"/>
      <sz val="13"/>
    </font>
    <font>
      <name val="Arial"/>
      <family val="2"/>
      <color rgb="FFCC0000"/>
      <sz val="13"/>
    </font>
    <font>
      <name val="Arial"/>
      <family val="2"/>
      <b val="1"/>
      <color rgb="FFB8860B"/>
      <sz val="13"/>
    </font>
    <font>
      <name val="Arial"/>
      <family val="2"/>
      <color rgb="FF555555"/>
      <sz val="13"/>
    </font>
    <font>
      <name val="Arial"/>
      <family val="2"/>
      <b val="1"/>
      <color rgb="FFCC0000"/>
      <sz val="13"/>
    </font>
    <font>
      <name val="Arial"/>
      <family val="2"/>
      <i val="1"/>
      <color rgb="FFCC0000"/>
      <sz val="13"/>
    </font>
    <font>
      <name val="Arial"/>
      <family val="2"/>
      <b val="1"/>
      <color rgb="FFCC0000"/>
      <sz val="14"/>
    </font>
    <font>
      <name val="Arial"/>
      <family val="2"/>
      <b val="1"/>
      <color rgb="FF0000CC"/>
      <sz val="14"/>
    </font>
    <font>
      <name val="Arial"/>
      <family val="2"/>
      <b val="1"/>
      <color rgb="FFAA6600"/>
      <sz val="13"/>
    </font>
    <font>
      <name val="Arial"/>
      <family val="2"/>
      <i val="1"/>
      <color rgb="FFAAAAAA"/>
      <sz val="13"/>
    </font>
    <font>
      <name val="Arial"/>
      <family val="2"/>
      <color rgb="FFBBBBBB"/>
      <sz val="13"/>
    </font>
    <font>
      <name val="Arial"/>
      <family val="2"/>
      <color rgb="FF222222"/>
      <sz val="13"/>
    </font>
    <font>
      <name val="Calibri"/>
      <family val="2"/>
      <b val="1"/>
      <color rgb="FFFFFFFF"/>
      <sz val="12"/>
    </font>
    <font>
      <name val="Calibri"/>
      <family val="2"/>
      <b val="1"/>
      <sz val="11"/>
    </font>
    <font>
      <name val="Arial"/>
      <family val="2"/>
      <b val="1"/>
      <color rgb="FFFFFFFF"/>
      <sz val="14"/>
    </font>
    <font>
      <name val="Arial"/>
      <family val="2"/>
      <b val="1"/>
      <color rgb="FF3ECF8E"/>
      <sz val="12"/>
    </font>
    <font>
      <name val="Arial"/>
      <family val="2"/>
      <b val="1"/>
      <color rgb="FF7C6AF7"/>
      <sz val="12"/>
    </font>
    <font>
      <name val="Arial"/>
      <family val="2"/>
      <b val="1"/>
      <color rgb="FFD4A84B"/>
      <sz val="12"/>
    </font>
    <font>
      <name val="Arial"/>
      <family val="2"/>
      <b val="1"/>
      <color rgb="FF60A5FA"/>
      <sz val="12"/>
    </font>
    <font>
      <name val="Arial"/>
      <family val="2"/>
      <b val="1"/>
      <color rgb="FFFFFFFF"/>
      <sz val="11"/>
    </font>
    <font>
      <name val="Arial"/>
      <family val="2"/>
      <color rgb="FFE6EDF3"/>
      <sz val="10"/>
    </font>
    <font>
      <name val="Arial"/>
      <family val="2"/>
      <color rgb="FFF06060"/>
      <sz val="10"/>
    </font>
    <font>
      <name val="Arial"/>
      <family val="2"/>
      <b val="1"/>
      <color rgb="FFF06060"/>
      <sz val="12"/>
    </font>
    <font>
      <name val="Arial"/>
      <family val="2"/>
      <color rgb="FFD4A84B"/>
      <sz val="10"/>
    </font>
  </fonts>
  <fills count="22">
    <fill>
      <patternFill/>
    </fill>
    <fill>
      <patternFill patternType="gray125"/>
    </fill>
    <fill>
      <patternFill patternType="solid">
        <fgColor rgb="FF1E1E2E"/>
      </patternFill>
    </fill>
    <fill>
      <patternFill patternType="solid">
        <fgColor rgb="FF2A2A3E"/>
      </patternFill>
    </fill>
    <fill>
      <patternFill patternType="solid">
        <fgColor rgb="FFFFFDE7"/>
      </patternFill>
    </fill>
    <fill>
      <patternFill patternType="solid">
        <fgColor rgb="FF7C6AF7"/>
      </patternFill>
    </fill>
    <fill>
      <patternFill patternType="solid">
        <fgColor rgb="FF1A1814"/>
      </patternFill>
    </fill>
    <fill>
      <patternFill patternType="solid">
        <fgColor rgb="FFF0FFF4"/>
      </patternFill>
    </fill>
    <fill>
      <patternFill patternType="solid">
        <fgColor rgb="FFF0F4FF"/>
      </patternFill>
    </fill>
    <fill>
      <patternFill patternType="solid">
        <fgColor rgb="FFFAFAFA"/>
      </patternFill>
    </fill>
    <fill>
      <patternFill patternType="solid">
        <fgColor rgb="FFE8E8FF"/>
      </patternFill>
    </fill>
    <fill>
      <patternFill patternType="solid">
        <fgColor rgb="FFFFFBF0"/>
      </patternFill>
    </fill>
    <fill>
      <patternFill patternType="solid">
        <fgColor rgb="FFFFF0F0"/>
      </patternFill>
    </fill>
    <fill>
      <patternFill patternType="solid">
        <fgColor rgb="FFFFF8F0"/>
      </patternFill>
    </fill>
    <fill>
      <patternFill patternType="solid">
        <fgColor rgb="FFF8F8F8"/>
      </patternFill>
    </fill>
    <fill>
      <patternFill patternType="solid">
        <fgColor rgb="FFF7F7FC"/>
      </patternFill>
    </fill>
    <fill>
      <patternFill patternType="solid">
        <fgColor rgb="FFFFFFFF"/>
      </patternFill>
    </fill>
    <fill>
      <patternFill patternType="solid">
        <fgColor rgb="FF2F5496"/>
        <bgColor rgb="FF2F5496"/>
      </patternFill>
    </fill>
    <fill>
      <patternFill patternType="solid">
        <fgColor rgb="FFD9E1F2"/>
        <bgColor rgb="FFD9E1F2"/>
      </patternFill>
    </fill>
    <fill>
      <patternFill patternType="solid">
        <fgColor rgb="FF0D1117"/>
      </patternFill>
    </fill>
    <fill>
      <patternFill patternType="solid">
        <fgColor rgb="FF161B22"/>
      </patternFill>
    </fill>
    <fill>
      <patternFill patternType="solid">
        <fgColor rgb="FFD4A84B"/>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142">
    <xf numFmtId="0" fontId="0" fillId="0" borderId="0" pivotButton="0" quotePrefix="0" xfId="0"/>
    <xf numFmtId="0" fontId="3" fillId="0" borderId="0" pivotButton="0" quotePrefix="0" xfId="0"/>
    <xf numFmtId="164" fontId="4" fillId="4" borderId="1" applyAlignment="1" pivotButton="0" quotePrefix="0" xfId="0">
      <alignment horizontal="right" vertical="center"/>
    </xf>
    <xf numFmtId="0" fontId="5" fillId="4" borderId="1" applyAlignment="1" pivotButton="0" quotePrefix="0" xfId="0">
      <alignment horizontal="right" vertical="center"/>
    </xf>
    <xf numFmtId="0" fontId="6" fillId="5" borderId="0" applyAlignment="1" pivotButton="0" quotePrefix="0" xfId="0">
      <alignment horizontal="center" vertical="center"/>
    </xf>
    <xf numFmtId="0" fontId="8" fillId="0" borderId="2" applyAlignment="1" pivotButton="0" quotePrefix="0" xfId="0">
      <alignment horizontal="left" vertical="center"/>
    </xf>
    <xf numFmtId="165" fontId="9" fillId="7" borderId="1" applyAlignment="1" pivotButton="0" quotePrefix="0" xfId="0">
      <alignment horizontal="right" vertical="center"/>
    </xf>
    <xf numFmtId="165" fontId="4" fillId="4" borderId="1" applyAlignment="1" pivotButton="0" quotePrefix="0" xfId="0">
      <alignment horizontal="right" vertical="center"/>
    </xf>
    <xf numFmtId="166" fontId="8" fillId="8" borderId="1" applyAlignment="1" pivotButton="0" quotePrefix="0" xfId="0">
      <alignment horizontal="right" vertical="center"/>
    </xf>
    <xf numFmtId="0" fontId="8" fillId="8" borderId="1" applyAlignment="1" pivotButton="0" quotePrefix="0" xfId="0">
      <alignment horizontal="center" vertical="center"/>
    </xf>
    <xf numFmtId="0" fontId="10" fillId="0" borderId="2" pivotButton="0" quotePrefix="0" xfId="0"/>
    <xf numFmtId="0" fontId="3" fillId="0" borderId="2" applyAlignment="1" pivotButton="0" quotePrefix="0" xfId="0">
      <alignment horizontal="left" vertical="center"/>
    </xf>
    <xf numFmtId="165" fontId="13" fillId="4" borderId="1" applyAlignment="1" pivotButton="0" quotePrefix="0" xfId="0">
      <alignment horizontal="right" vertical="center"/>
    </xf>
    <xf numFmtId="0" fontId="14" fillId="0" borderId="2" applyAlignment="1" pivotButton="0" quotePrefix="0" xfId="0">
      <alignment horizontal="left" vertical="center" wrapText="1"/>
    </xf>
    <xf numFmtId="165" fontId="15" fillId="4" borderId="1" applyAlignment="1" pivotButton="0" quotePrefix="0" xfId="0">
      <alignment horizontal="right" vertical="center"/>
    </xf>
    <xf numFmtId="0" fontId="16" fillId="0" borderId="2" applyAlignment="1" pivotButton="0" quotePrefix="0" xfId="0">
      <alignment horizontal="left" vertical="center" wrapText="1"/>
    </xf>
    <xf numFmtId="165" fontId="17" fillId="4" borderId="1" applyAlignment="1" pivotButton="0" quotePrefix="0" xfId="0">
      <alignment horizontal="right" vertical="center"/>
    </xf>
    <xf numFmtId="0" fontId="18" fillId="0" borderId="2" applyAlignment="1" pivotButton="0" quotePrefix="0" xfId="0">
      <alignment horizontal="left" vertical="center" wrapText="1"/>
    </xf>
    <xf numFmtId="0" fontId="19" fillId="10" borderId="0" pivotButton="0" quotePrefix="0" xfId="0"/>
    <xf numFmtId="165" fontId="20" fillId="8" borderId="1" applyAlignment="1" pivotButton="0" quotePrefix="0" xfId="0">
      <alignment horizontal="right" vertical="center"/>
    </xf>
    <xf numFmtId="0" fontId="17" fillId="11" borderId="2" applyAlignment="1" pivotButton="0" quotePrefix="0" xfId="0">
      <alignment horizontal="center" vertical="center"/>
    </xf>
    <xf numFmtId="0" fontId="8" fillId="11" borderId="2" applyAlignment="1" pivotButton="0" quotePrefix="0" xfId="0">
      <alignment horizontal="center" vertical="center"/>
    </xf>
    <xf numFmtId="164" fontId="8" fillId="11" borderId="2" applyAlignment="1" pivotButton="0" quotePrefix="0" xfId="0">
      <alignment horizontal="center" vertical="center"/>
    </xf>
    <xf numFmtId="0" fontId="8" fillId="11" borderId="2" applyAlignment="1" pivotButton="0" quotePrefix="0" xfId="0">
      <alignment horizontal="left" vertical="center"/>
    </xf>
    <xf numFmtId="165" fontId="22" fillId="11" borderId="2" applyAlignment="1" pivotButton="0" quotePrefix="0" xfId="0">
      <alignment horizontal="right" vertical="center"/>
    </xf>
    <xf numFmtId="167" fontId="8" fillId="11" borderId="2" applyAlignment="1" pivotButton="0" quotePrefix="0" xfId="0">
      <alignment horizontal="right" vertical="center"/>
    </xf>
    <xf numFmtId="0" fontId="23" fillId="11" borderId="2" applyAlignment="1" pivotButton="0" quotePrefix="0" xfId="0">
      <alignment horizontal="center" vertical="center"/>
    </xf>
    <xf numFmtId="0" fontId="24" fillId="11" borderId="2" applyAlignment="1" pivotButton="0" quotePrefix="0" xfId="0">
      <alignment horizontal="left" vertical="center" wrapText="1"/>
    </xf>
    <xf numFmtId="0" fontId="8" fillId="11" borderId="2" applyAlignment="1" pivotButton="0" quotePrefix="0" xfId="0">
      <alignment horizontal="right" vertical="center"/>
    </xf>
    <xf numFmtId="0" fontId="17" fillId="7" borderId="2" applyAlignment="1" pivotButton="0" quotePrefix="0" xfId="0">
      <alignment horizontal="center" vertical="center"/>
    </xf>
    <xf numFmtId="0" fontId="8" fillId="7" borderId="2" applyAlignment="1" pivotButton="0" quotePrefix="0" xfId="0">
      <alignment horizontal="center" vertical="center"/>
    </xf>
    <xf numFmtId="164" fontId="8" fillId="7" borderId="2" applyAlignment="1" pivotButton="0" quotePrefix="0" xfId="0">
      <alignment horizontal="center" vertical="center"/>
    </xf>
    <xf numFmtId="0" fontId="8" fillId="7" borderId="2" applyAlignment="1" pivotButton="0" quotePrefix="0" xfId="0">
      <alignment horizontal="left" vertical="center"/>
    </xf>
    <xf numFmtId="165" fontId="22" fillId="7" borderId="2" applyAlignment="1" pivotButton="0" quotePrefix="0" xfId="0">
      <alignment horizontal="right" vertical="center"/>
    </xf>
    <xf numFmtId="0" fontId="8" fillId="7" borderId="2" applyAlignment="1" pivotButton="0" quotePrefix="0" xfId="0">
      <alignment horizontal="right" vertical="center"/>
    </xf>
    <xf numFmtId="0" fontId="13" fillId="7" borderId="2" applyAlignment="1" pivotButton="0" quotePrefix="0" xfId="0">
      <alignment horizontal="center" vertical="center"/>
    </xf>
    <xf numFmtId="0" fontId="24" fillId="7" borderId="2" applyAlignment="1" pivotButton="0" quotePrefix="0" xfId="0">
      <alignment horizontal="left" vertical="center" wrapText="1"/>
    </xf>
    <xf numFmtId="0" fontId="17" fillId="12" borderId="2" applyAlignment="1" pivotButton="0" quotePrefix="0" xfId="0">
      <alignment horizontal="center" vertical="center"/>
    </xf>
    <xf numFmtId="0" fontId="8" fillId="12" borderId="2" applyAlignment="1" pivotButton="0" quotePrefix="0" xfId="0">
      <alignment horizontal="center" vertical="center"/>
    </xf>
    <xf numFmtId="164" fontId="8" fillId="12" borderId="2" applyAlignment="1" pivotButton="0" quotePrefix="0" xfId="0">
      <alignment horizontal="center" vertical="center"/>
    </xf>
    <xf numFmtId="0" fontId="8" fillId="12" borderId="2" applyAlignment="1" pivotButton="0" quotePrefix="0" xfId="0">
      <alignment horizontal="left" vertical="center"/>
    </xf>
    <xf numFmtId="165" fontId="22" fillId="12" borderId="2" applyAlignment="1" pivotButton="0" quotePrefix="0" xfId="0">
      <alignment horizontal="right" vertical="center"/>
    </xf>
    <xf numFmtId="0" fontId="8" fillId="12" borderId="2" applyAlignment="1" pivotButton="0" quotePrefix="0" xfId="0">
      <alignment horizontal="right" vertical="center"/>
    </xf>
    <xf numFmtId="0" fontId="25" fillId="12" borderId="2" applyAlignment="1" pivotButton="0" quotePrefix="0" xfId="0">
      <alignment horizontal="center" vertical="center"/>
    </xf>
    <xf numFmtId="0" fontId="24" fillId="12" borderId="2" applyAlignment="1" pivotButton="0" quotePrefix="0" xfId="0">
      <alignment horizontal="left" vertical="center" wrapText="1"/>
    </xf>
    <xf numFmtId="167" fontId="8" fillId="7" borderId="2" applyAlignment="1" pivotButton="0" quotePrefix="0" xfId="0">
      <alignment horizontal="right" vertical="center"/>
    </xf>
    <xf numFmtId="167" fontId="8" fillId="12" borderId="2" applyAlignment="1" pivotButton="0" quotePrefix="0" xfId="0">
      <alignment horizontal="right" vertical="center"/>
    </xf>
    <xf numFmtId="0" fontId="17" fillId="8" borderId="2" applyAlignment="1" pivotButton="0" quotePrefix="0" xfId="0">
      <alignment horizontal="center" vertical="center"/>
    </xf>
    <xf numFmtId="0" fontId="8" fillId="8" borderId="2" applyAlignment="1" pivotButton="0" quotePrefix="0" xfId="0">
      <alignment horizontal="center" vertical="center"/>
    </xf>
    <xf numFmtId="164" fontId="8" fillId="8" borderId="2" applyAlignment="1" pivotButton="0" quotePrefix="0" xfId="0">
      <alignment horizontal="center" vertical="center"/>
    </xf>
    <xf numFmtId="0" fontId="8" fillId="8" borderId="2" applyAlignment="1" pivotButton="0" quotePrefix="0" xfId="0">
      <alignment horizontal="left" vertical="center"/>
    </xf>
    <xf numFmtId="165" fontId="22" fillId="8" borderId="2" applyAlignment="1" pivotButton="0" quotePrefix="0" xfId="0">
      <alignment horizontal="right" vertical="center"/>
    </xf>
    <xf numFmtId="167" fontId="8" fillId="8" borderId="2" applyAlignment="1" pivotButton="0" quotePrefix="0" xfId="0">
      <alignment horizontal="right" vertical="center"/>
    </xf>
    <xf numFmtId="0" fontId="3" fillId="8" borderId="2" applyAlignment="1" pivotButton="0" quotePrefix="0" xfId="0">
      <alignment horizontal="center" vertical="center"/>
    </xf>
    <xf numFmtId="0" fontId="24" fillId="8" borderId="2" applyAlignment="1" pivotButton="0" quotePrefix="0" xfId="0">
      <alignment horizontal="left" vertical="center" wrapText="1"/>
    </xf>
    <xf numFmtId="0" fontId="3" fillId="10" borderId="0" pivotButton="0" quotePrefix="0" xfId="0"/>
    <xf numFmtId="165" fontId="19" fillId="8" borderId="1" applyAlignment="1" pivotButton="0" quotePrefix="0" xfId="0">
      <alignment horizontal="right" vertical="center"/>
    </xf>
    <xf numFmtId="0" fontId="26" fillId="0" borderId="0" pivotButton="0" quotePrefix="0" xfId="0"/>
    <xf numFmtId="165" fontId="25" fillId="8" borderId="1" applyAlignment="1" pivotButton="0" quotePrefix="0" xfId="0">
      <alignment horizontal="right" vertical="center"/>
    </xf>
    <xf numFmtId="0" fontId="3" fillId="12" borderId="2" applyAlignment="1" pivotButton="0" quotePrefix="0" xfId="0">
      <alignment horizontal="left" vertical="center"/>
    </xf>
    <xf numFmtId="0" fontId="24" fillId="12" borderId="2" applyAlignment="1" pivotButton="0" quotePrefix="0" xfId="0">
      <alignment horizontal="left" vertical="center"/>
    </xf>
    <xf numFmtId="165" fontId="8" fillId="12" borderId="2" applyAlignment="1" pivotButton="0" quotePrefix="0" xfId="0">
      <alignment horizontal="right" vertical="center"/>
    </xf>
    <xf numFmtId="0" fontId="3" fillId="7" borderId="2" applyAlignment="1" pivotButton="0" quotePrefix="0" xfId="0">
      <alignment horizontal="left" vertical="center"/>
    </xf>
    <xf numFmtId="0" fontId="24" fillId="7" borderId="2" applyAlignment="1" pivotButton="0" quotePrefix="0" xfId="0">
      <alignment horizontal="left" vertical="center"/>
    </xf>
    <xf numFmtId="165" fontId="8" fillId="7" borderId="2" applyAlignment="1" pivotButton="0" quotePrefix="0" xfId="0">
      <alignment horizontal="right" vertical="center"/>
    </xf>
    <xf numFmtId="0" fontId="3" fillId="11" borderId="2" applyAlignment="1" pivotButton="0" quotePrefix="0" xfId="0">
      <alignment horizontal="left" vertical="center"/>
    </xf>
    <xf numFmtId="0" fontId="24" fillId="11" borderId="2" applyAlignment="1" pivotButton="0" quotePrefix="0" xfId="0">
      <alignment horizontal="left" vertical="center"/>
    </xf>
    <xf numFmtId="165" fontId="8" fillId="11" borderId="2" applyAlignment="1" pivotButton="0" quotePrefix="0" xfId="0">
      <alignment horizontal="right" vertical="center"/>
    </xf>
    <xf numFmtId="0" fontId="3" fillId="7" borderId="0" pivotButton="0" quotePrefix="0" xfId="0"/>
    <xf numFmtId="0" fontId="3" fillId="12" borderId="0" pivotButton="0" quotePrefix="0" xfId="0"/>
    <xf numFmtId="165" fontId="27" fillId="8" borderId="1" applyAlignment="1" pivotButton="0" quotePrefix="0" xfId="0">
      <alignment horizontal="right" vertical="center"/>
    </xf>
    <xf numFmtId="0" fontId="24" fillId="4" borderId="2" applyAlignment="1" pivotButton="0" quotePrefix="0" xfId="0">
      <alignment horizontal="left" vertical="center"/>
    </xf>
    <xf numFmtId="0" fontId="4" fillId="4" borderId="2" applyAlignment="1" pivotButton="0" quotePrefix="0" xfId="0">
      <alignment horizontal="center" vertical="center"/>
    </xf>
    <xf numFmtId="0" fontId="25" fillId="12" borderId="0" pivotButton="0" quotePrefix="0" xfId="0"/>
    <xf numFmtId="165" fontId="28" fillId="4" borderId="1" applyAlignment="1" pivotButton="0" quotePrefix="0" xfId="0">
      <alignment horizontal="right" vertical="center"/>
    </xf>
    <xf numFmtId="165" fontId="20" fillId="4" borderId="1" applyAlignment="1" pivotButton="0" quotePrefix="0" xfId="0">
      <alignment horizontal="right" vertical="center"/>
    </xf>
    <xf numFmtId="165" fontId="9" fillId="7" borderId="2" applyAlignment="1" pivotButton="0" quotePrefix="0" xfId="0">
      <alignment horizontal="right" vertical="center"/>
    </xf>
    <xf numFmtId="164" fontId="8" fillId="13" borderId="2" applyAlignment="1" pivotButton="0" quotePrefix="0" xfId="0">
      <alignment horizontal="center" vertical="center"/>
    </xf>
    <xf numFmtId="0" fontId="29" fillId="13" borderId="2" applyAlignment="1" pivotButton="0" quotePrefix="0" xfId="0">
      <alignment horizontal="center" vertical="center"/>
    </xf>
    <xf numFmtId="0" fontId="8" fillId="13" borderId="2" applyAlignment="1" pivotButton="0" quotePrefix="0" xfId="0">
      <alignment horizontal="left" vertical="center"/>
    </xf>
    <xf numFmtId="165" fontId="22" fillId="13" borderId="2" applyAlignment="1" pivotButton="0" quotePrefix="0" xfId="0">
      <alignment horizontal="right" vertical="center"/>
    </xf>
    <xf numFmtId="165" fontId="8" fillId="13" borderId="2" applyAlignment="1" pivotButton="0" quotePrefix="0" xfId="0">
      <alignment horizontal="right" vertical="center"/>
    </xf>
    <xf numFmtId="0" fontId="3" fillId="11" borderId="0" pivotButton="0" quotePrefix="0" xfId="0"/>
    <xf numFmtId="165" fontId="3" fillId="8" borderId="1" applyAlignment="1" pivotButton="0" quotePrefix="0" xfId="0">
      <alignment horizontal="right" vertical="center"/>
    </xf>
    <xf numFmtId="4" fontId="8" fillId="12" borderId="2" applyAlignment="1" pivotButton="0" quotePrefix="0" xfId="0">
      <alignment horizontal="right" vertical="center"/>
    </xf>
    <xf numFmtId="168" fontId="8" fillId="12" borderId="2" applyAlignment="1" pivotButton="0" quotePrefix="0" xfId="0">
      <alignment horizontal="right" vertical="center"/>
    </xf>
    <xf numFmtId="165" fontId="25" fillId="12" borderId="2" applyAlignment="1" pivotButton="0" quotePrefix="0" xfId="0">
      <alignment horizontal="right" vertical="center"/>
    </xf>
    <xf numFmtId="4" fontId="8" fillId="7" borderId="2" applyAlignment="1" pivotButton="0" quotePrefix="0" xfId="0">
      <alignment horizontal="right" vertical="center"/>
    </xf>
    <xf numFmtId="165" fontId="13" fillId="7" borderId="2" applyAlignment="1" pivotButton="0" quotePrefix="0" xfId="0">
      <alignment horizontal="right" vertical="center"/>
    </xf>
    <xf numFmtId="168" fontId="8" fillId="7" borderId="2" applyAlignment="1" pivotButton="0" quotePrefix="0" xfId="0">
      <alignment horizontal="right" vertical="center"/>
    </xf>
    <xf numFmtId="164" fontId="31" fillId="14" borderId="2" applyAlignment="1" pivotButton="0" quotePrefix="0" xfId="0">
      <alignment horizontal="center" vertical="center"/>
    </xf>
    <xf numFmtId="0" fontId="31" fillId="14" borderId="2" applyAlignment="1" pivotButton="0" quotePrefix="0" xfId="0">
      <alignment horizontal="left" vertical="center"/>
    </xf>
    <xf numFmtId="4" fontId="31" fillId="14" borderId="2" applyAlignment="1" pivotButton="0" quotePrefix="0" xfId="0">
      <alignment horizontal="right" vertical="center"/>
    </xf>
    <xf numFmtId="165" fontId="31" fillId="14" borderId="2" applyAlignment="1" pivotButton="0" quotePrefix="0" xfId="0">
      <alignment horizontal="right" vertical="center"/>
    </xf>
    <xf numFmtId="0" fontId="31" fillId="14" borderId="2" applyAlignment="1" pivotButton="0" quotePrefix="0" xfId="0">
      <alignment horizontal="center" vertical="center"/>
    </xf>
    <xf numFmtId="168" fontId="31" fillId="14" borderId="2" applyAlignment="1" pivotButton="0" quotePrefix="0" xfId="0">
      <alignment horizontal="right" vertical="center"/>
    </xf>
    <xf numFmtId="0" fontId="13" fillId="7" borderId="0" pivotButton="0" quotePrefix="0" xfId="0"/>
    <xf numFmtId="0" fontId="3" fillId="15" borderId="2" applyAlignment="1" pivotButton="0" quotePrefix="0" xfId="0">
      <alignment horizontal="center" vertical="center"/>
    </xf>
    <xf numFmtId="164" fontId="8" fillId="15" borderId="2" applyAlignment="1" pivotButton="0" quotePrefix="0" xfId="0">
      <alignment horizontal="center" vertical="center"/>
    </xf>
    <xf numFmtId="165" fontId="22" fillId="15" borderId="2" applyAlignment="1" pivotButton="0" quotePrefix="0" xfId="0">
      <alignment horizontal="right" vertical="center"/>
    </xf>
    <xf numFmtId="0" fontId="8" fillId="15" borderId="2" applyAlignment="1" pivotButton="0" quotePrefix="0" xfId="0">
      <alignment horizontal="center" vertical="center"/>
    </xf>
    <xf numFmtId="0" fontId="17" fillId="15" borderId="2" applyAlignment="1" pivotButton="0" quotePrefix="0" xfId="0">
      <alignment horizontal="left" vertical="center"/>
    </xf>
    <xf numFmtId="0" fontId="3" fillId="16" borderId="2" applyAlignment="1" pivotButton="0" quotePrefix="0" xfId="0">
      <alignment horizontal="center" vertical="center"/>
    </xf>
    <xf numFmtId="164" fontId="8" fillId="16" borderId="2" applyAlignment="1" pivotButton="0" quotePrefix="0" xfId="0">
      <alignment horizontal="center" vertical="center"/>
    </xf>
    <xf numFmtId="165" fontId="22" fillId="16" borderId="2" applyAlignment="1" pivotButton="0" quotePrefix="0" xfId="0">
      <alignment horizontal="right" vertical="center"/>
    </xf>
    <xf numFmtId="0" fontId="8" fillId="16" borderId="2" applyAlignment="1" pivotButton="0" quotePrefix="0" xfId="0">
      <alignment horizontal="center" vertical="center"/>
    </xf>
    <xf numFmtId="0" fontId="17" fillId="16" borderId="2" applyAlignment="1" pivotButton="0" quotePrefix="0" xfId="0">
      <alignment horizontal="left" vertical="center"/>
    </xf>
    <xf numFmtId="3" fontId="3" fillId="8" borderId="1" applyAlignment="1" pivotButton="0" quotePrefix="0" xfId="0">
      <alignment horizontal="right" vertical="center"/>
    </xf>
    <xf numFmtId="0" fontId="6" fillId="5" borderId="0" applyAlignment="1" pivotButton="0" quotePrefix="0" xfId="0">
      <alignment horizontal="left" vertical="center"/>
    </xf>
    <xf numFmtId="0" fontId="33" fillId="17" borderId="0" pivotButton="0" quotePrefix="0" xfId="0"/>
    <xf numFmtId="0" fontId="34" fillId="18" borderId="0" pivotButton="0" quotePrefix="0" xfId="0"/>
    <xf numFmtId="4" fontId="0" fillId="0" borderId="0" pivotButton="0" quotePrefix="0" xfId="0"/>
    <xf numFmtId="0" fontId="40" fillId="20" borderId="5" applyAlignment="1" pivotButton="0" quotePrefix="0" xfId="0">
      <alignment horizontal="center" vertical="center"/>
    </xf>
    <xf numFmtId="0" fontId="41" fillId="19" borderId="5" applyAlignment="1" pivotButton="0" quotePrefix="0" xfId="0">
      <alignment horizontal="center" vertical="center"/>
    </xf>
    <xf numFmtId="0" fontId="41" fillId="19" borderId="5" applyAlignment="1" pivotButton="0" quotePrefix="0" xfId="0">
      <alignment horizontal="left" vertical="center"/>
    </xf>
    <xf numFmtId="4" fontId="42" fillId="19" borderId="5" applyAlignment="1" pivotButton="0" quotePrefix="0" xfId="0">
      <alignment horizontal="center" vertical="center"/>
    </xf>
    <xf numFmtId="0" fontId="41" fillId="20" borderId="5" applyAlignment="1" pivotButton="0" quotePrefix="0" xfId="0">
      <alignment horizontal="center" vertical="center"/>
    </xf>
    <xf numFmtId="0" fontId="41" fillId="20" borderId="5" applyAlignment="1" pivotButton="0" quotePrefix="0" xfId="0">
      <alignment horizontal="left" vertical="center"/>
    </xf>
    <xf numFmtId="4" fontId="42" fillId="20" borderId="5" applyAlignment="1" pivotButton="0" quotePrefix="0" xfId="0">
      <alignment horizontal="center" vertical="center"/>
    </xf>
    <xf numFmtId="4" fontId="44" fillId="19" borderId="5" applyAlignment="1" pivotButton="0" quotePrefix="0" xfId="0">
      <alignment horizontal="center" vertical="center"/>
    </xf>
    <xf numFmtId="4" fontId="44" fillId="20" borderId="5" applyAlignment="1" pivotButton="0" quotePrefix="0" xfId="0">
      <alignment horizontal="center" vertical="center"/>
    </xf>
    <xf numFmtId="0" fontId="42" fillId="20" borderId="5" applyAlignment="1" pivotButton="0" quotePrefix="0" xfId="0">
      <alignment horizontal="center" vertical="center"/>
    </xf>
    <xf numFmtId="0" fontId="42" fillId="19" borderId="5" applyAlignment="1" pivotButton="0" quotePrefix="0" xfId="0">
      <alignment horizontal="center" vertical="center"/>
    </xf>
    <xf numFmtId="0" fontId="2" fillId="3" borderId="0" applyAlignment="1" pivotButton="0" quotePrefix="0" xfId="0">
      <alignment horizontal="left" vertical="center"/>
    </xf>
    <xf numFmtId="0" fontId="0" fillId="0" borderId="0" pivotButton="0" quotePrefix="0" xfId="0"/>
    <xf numFmtId="0" fontId="11" fillId="9" borderId="0" applyAlignment="1" pivotButton="0" quotePrefix="0" xfId="0">
      <alignment horizontal="left" vertical="center"/>
    </xf>
    <xf numFmtId="0" fontId="1" fillId="2" borderId="0" applyAlignment="1" pivotButton="0" quotePrefix="0" xfId="0">
      <alignment horizontal="left" vertical="center"/>
    </xf>
    <xf numFmtId="0" fontId="12" fillId="4" borderId="0" applyAlignment="1" pivotButton="0" quotePrefix="0" xfId="0">
      <alignment horizontal="left" vertical="center"/>
    </xf>
    <xf numFmtId="0" fontId="7" fillId="6" borderId="0" applyAlignment="1" pivotButton="0" quotePrefix="0" xfId="0">
      <alignment horizontal="left" vertical="center"/>
    </xf>
    <xf numFmtId="0" fontId="21" fillId="0" borderId="0" applyAlignment="1" pivotButton="0" quotePrefix="0" xfId="0">
      <alignment horizontal="left" vertical="center" wrapText="1"/>
    </xf>
    <xf numFmtId="0" fontId="30" fillId="0" borderId="0" applyAlignment="1" pivotButton="0" quotePrefix="0" xfId="0">
      <alignment horizontal="center" vertical="center"/>
    </xf>
    <xf numFmtId="0" fontId="32" fillId="9" borderId="1" applyAlignment="1" pivotButton="0" quotePrefix="0" xfId="0">
      <alignment horizontal="left" vertical="top" wrapText="1"/>
    </xf>
    <xf numFmtId="0" fontId="0" fillId="0" borderId="3" pivotButton="0" quotePrefix="0" xfId="0"/>
    <xf numFmtId="0" fontId="0" fillId="0" borderId="4" pivotButton="0" quotePrefix="0" xfId="0"/>
    <xf numFmtId="0" fontId="36" fillId="19" borderId="0" applyAlignment="1" pivotButton="0" quotePrefix="0" xfId="0">
      <alignment horizontal="center" vertical="center"/>
    </xf>
    <xf numFmtId="0" fontId="37" fillId="19" borderId="0" applyAlignment="1" pivotButton="0" quotePrefix="0" xfId="0">
      <alignment horizontal="center" vertical="center"/>
    </xf>
    <xf numFmtId="0" fontId="39" fillId="19" borderId="0" applyAlignment="1" pivotButton="0" quotePrefix="0" xfId="0">
      <alignment horizontal="center" vertical="center"/>
    </xf>
    <xf numFmtId="0" fontId="38" fillId="19" borderId="0" applyAlignment="1" pivotButton="0" quotePrefix="0" xfId="0">
      <alignment horizontal="center" vertical="center"/>
    </xf>
    <xf numFmtId="0" fontId="35" fillId="5" borderId="0" applyAlignment="1" pivotButton="0" quotePrefix="0" xfId="0">
      <alignment horizontal="center" vertical="center"/>
    </xf>
    <xf numFmtId="0" fontId="35" fillId="21" borderId="0" applyAlignment="1" pivotButton="0" quotePrefix="0" xfId="0">
      <alignment horizontal="center" vertical="center"/>
    </xf>
    <xf numFmtId="0" fontId="43" fillId="19" borderId="0" applyAlignment="1" pivotButton="0" quotePrefix="0" xfId="0">
      <alignment horizontal="center" vertical="center"/>
    </xf>
    <xf numFmtId="0" fontId="32" fillId="9" borderId="5" applyAlignment="1" pivotButton="0" quotePrefix="0" xfId="0">
      <alignment horizontal="left" vertical="top" wrapText="1"/>
    </xf>
  </cellXfs>
  <cellStyles count="1">
    <cellStyle name="Normal" xfId="0" builtinId="0"/>
  </cellStyles>
  <dxfs count="12">
    <dxf>
      <font>
        <color rgb="FF1F4E78"/>
      </font>
      <fill>
        <patternFill patternType="solid">
          <fgColor rgb="FFDDEBF7"/>
          <bgColor rgb="FFDDEBF7"/>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1F4E78"/>
      </font>
      <fill>
        <patternFill patternType="solid">
          <fgColor rgb="FFDDEBF7"/>
          <bgColor rgb="FFDDEBF7"/>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1F4E78"/>
      </font>
      <fill>
        <patternFill patternType="solid">
          <fgColor rgb="FFDDEBF7"/>
          <bgColor rgb="FFDDEBF7"/>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lstStyle/>
          <a:p>
            <a:pPr>
              <a:defRPr/>
            </a:pPr>
            <a:r>
              <a:t>Spend by Decision (BRL)</a:t>
            </a:r>
          </a:p>
        </rich>
      </tx>
      <overlay val="1"/>
    </title>
    <plotArea>
      <layout/>
      <barChart>
        <barDir val="col"/>
        <grouping val="clustered"/>
        <varyColors val="1"/>
        <ser>
          <idx val="0"/>
          <order val="0"/>
          <tx>
            <strRef>
              <f>'💳 Transactions'!$M$2</f>
              <strCache>
                <ptCount val="1"/>
                <pt idx="0">
                  <v>Total BRL</v>
                </pt>
              </strCache>
            </strRef>
          </tx>
          <spPr>
            <a:ln>
              <a:prstDash val="solid"/>
            </a:ln>
          </spPr>
          <invertIfNegative val="1"/>
          <cat>
            <strRef>
              <f>'💳 Transactions'!$L$3:$L$6</f>
              <strCache>
                <ptCount val="4"/>
                <pt idx="0">
                  <v>KEEP</v>
                </pt>
                <pt idx="1">
                  <v>CANCEL</v>
                </pt>
                <pt idx="2">
                  <v>REVIEW</v>
                </pt>
                <pt idx="3">
                  <v>PAUSE</v>
                </pt>
              </strCache>
            </strRef>
          </cat>
          <val>
            <numRef>
              <f>'💳 Transactions'!$M$3:$M$6</f>
              <numCache>
                <formatCode>#,##0.00</formatCode>
                <ptCount val="4"/>
                <pt idx="0">
                  <v>-1919.52</v>
                </pt>
                <pt idx="1">
                  <v>-5223.63</v>
                </pt>
                <pt idx="2">
                  <v>-2351.92</v>
                </pt>
                <pt idx="3">
                  <v>-736.4499999999999</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BRL</a:t>
                </a:r>
              </a:p>
            </rich>
          </tx>
          <overlay val="1"/>
        </title>
        <numFmt formatCode="#,##0.00" sourceLinked="1"/>
        <majorTickMark val="none"/>
        <minorTickMark val="none"/>
        <tickLblPos val="nextTo"/>
        <crossAx val="10"/>
        <crosses val="autoZero"/>
        <crossBetween val="between"/>
      </valAx>
    </plotArea>
    <legend>
      <legendPos val="r"/>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t>Spend by Category (BRL)</a:t>
            </a:r>
          </a:p>
        </rich>
      </tx>
      <overlay val="1"/>
    </title>
    <plotArea>
      <layout/>
      <barChart>
        <barDir val="bar"/>
        <grouping val="clustered"/>
        <varyColors val="1"/>
        <ser>
          <idx val="0"/>
          <order val="0"/>
          <tx>
            <strRef>
              <f>'💳 Transactions'!$M$25</f>
              <strCache>
                <ptCount val="1"/>
                <pt idx="0">
                  <v>Total BRL</v>
                </pt>
              </strCache>
            </strRef>
          </tx>
          <spPr>
            <a:ln>
              <a:prstDash val="solid"/>
            </a:ln>
          </spPr>
          <invertIfNegative val="1"/>
          <cat>
            <strRef>
              <f>'💳 Transactions'!$L$26:$L$45</f>
              <strCache>
                <ptCount val="20"/>
                <pt idx="0">
                  <v>AI - General</v>
                </pt>
                <pt idx="1">
                  <v>Developer/Unknown</v>
                </pt>
                <pt idx="2">
                  <v>Apple/Cloud</v>
                </pt>
                <pt idx="3">
                  <v>Developer</v>
                </pt>
                <pt idx="4">
                  <v>AI - Unknown</v>
                </pt>
                <pt idx="5">
                  <v>AI - Agent/Credits</v>
                </pt>
                <pt idx="6">
                  <v>AI - Research/Apple-billed</v>
                </pt>
                <pt idx="7">
                  <v>AI/App Unknown</v>
                </pt>
                <pt idx="8">
                  <v>AI - General/Coding</v>
                </pt>
                <pt idx="9">
                  <v>Productivity/Automation</v>
                </pt>
                <pt idx="10">
                  <v>AI - Desktop Automation</v>
                </pt>
                <pt idx="11">
                  <v>AI API/Router</v>
                </pt>
                <pt idx="12">
                  <v>AI/Productivity</v>
                </pt>
                <pt idx="13">
                  <v>AI - Coding</v>
                </pt>
                <pt idx="14">
                  <v>Productivity</v>
                </pt>
                <pt idx="15">
                  <v>Infrastructure</v>
                </pt>
                <pt idx="16">
                  <v>Apple/Media</v>
                </pt>
                <pt idx="17">
                  <v>AI - Research</v>
                </pt>
                <pt idx="18">
                  <v>AI API/Credits</v>
                </pt>
                <pt idx="19">
                  <v>Media/Google</v>
                </pt>
              </strCache>
            </strRef>
          </cat>
          <val>
            <numRef>
              <f>'💳 Transactions'!$M$26:$M$45</f>
              <numCache>
                <formatCode>#,##0.00</formatCode>
                <ptCount val="20"/>
                <pt idx="0">
                  <v>-1380.96</v>
                </pt>
                <pt idx="1">
                  <v>-10.25</v>
                </pt>
                <pt idx="2">
                  <v>-228.9</v>
                </pt>
                <pt idx="3">
                  <v>-215.2</v>
                </pt>
                <pt idx="4">
                  <v>-117.99</v>
                </pt>
                <pt idx="5">
                  <v>-2510.56</v>
                </pt>
                <pt idx="6">
                  <v>-599.4</v>
                </pt>
                <pt idx="7">
                  <v>-111.11</v>
                </pt>
                <pt idx="8">
                  <v>-1407.6</v>
                </pt>
                <pt idx="9">
                  <v>-524.63</v>
                </pt>
                <pt idx="10">
                  <v>-272.21</v>
                </pt>
                <pt idx="11">
                  <v>-113.78</v>
                </pt>
                <pt idx="12">
                  <v>-96.98999999999999</v>
                </pt>
                <pt idx="13">
                  <v>-335.43</v>
                </pt>
                <pt idx="14">
                  <v>-509</v>
                </pt>
                <pt idx="15">
                  <v>-191.05</v>
                </pt>
                <pt idx="16">
                  <v>-63.8</v>
                </pt>
                <pt idx="17">
                  <v>-650.99</v>
                </pt>
                <pt idx="18">
                  <v>-622.67</v>
                </pt>
                <pt idx="19">
                  <v>-269</v>
                </pt>
              </numCache>
            </numRef>
          </val>
        </ser>
        <dLbls>
          <showLegendKey val="0"/>
          <showVal val="0"/>
          <showCatName val="0"/>
          <showSerName val="0"/>
          <showPercent val="0"/>
          <showBubbleSize val="0"/>
        </dLbls>
        <gapWidth val="150"/>
        <axId val="10"/>
        <axId val="100"/>
      </barChart>
      <catAx>
        <axId val="10"/>
        <scaling>
          <orientation val="minMax"/>
        </scaling>
        <delete val="1"/>
        <axPos val="l"/>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numFmt formatCode="#,##0.00" sourceLinked="1"/>
        <majorTickMark val="none"/>
        <minorTickMark val="none"/>
        <tickLblPos val="nextTo"/>
        <crossAx val="10"/>
        <crosses val="autoZero"/>
        <crossBetween val="between"/>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t>Monthly Cost by Decision</a:t>
            </a:r>
          </a:p>
        </rich>
      </tx>
      <overlay val="1"/>
    </title>
    <plotArea>
      <layout/>
      <pieChart>
        <varyColors val="1"/>
        <ser>
          <idx val="0"/>
          <order val="0"/>
          <tx>
            <strRef>
              <f>'🔄 Subscriptions'!$O$2</f>
              <strCache>
                <ptCount val="1"/>
                <pt idx="0">
                  <v>Monthly BRL</v>
                </pt>
              </strCache>
            </strRef>
          </tx>
          <spPr>
            <a:ln>
              <a:prstDash val="solid"/>
            </a:ln>
          </spPr>
          <cat>
            <strRef>
              <f>'🔄 Subscriptions'!$N$3:$N$5</f>
              <strCache>
                <ptCount val="3"/>
                <pt idx="0">
                  <v>KEEP</v>
                </pt>
                <pt idx="1">
                  <v>CANCEL</v>
                </pt>
                <pt idx="2">
                  <v>REVIEW</v>
                </pt>
              </strCache>
            </strRef>
          </cat>
          <val>
            <numRef>
              <f>'🔄 Subscriptions'!$O$3:$O$5</f>
              <numCache>
                <formatCode>#,##0.00</formatCode>
                <ptCount val="3"/>
                <pt idx="0">
                  <v>331.8</v>
                </pt>
                <pt idx="1">
                  <v>365.8</v>
                </pt>
                <pt idx="2">
                  <v>183.14</v>
                </pt>
              </numCache>
            </numRef>
          </val>
        </ser>
        <dLbls>
          <showLegendKey val="0"/>
          <showVal val="0"/>
          <showCatName val="0"/>
          <showSerName val="0"/>
          <showPercent val="0"/>
          <showBubbleSize val="0"/>
          <showLeaderLines val="1"/>
        </dLbls>
        <firstSliceAng val="0"/>
      </pieChart>
    </plotArea>
    <legend>
      <legendPos val="r"/>
      <overlay val="1"/>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t>Monthly BRL at Risk by Duplicate-Risk Level</a:t>
            </a:r>
          </a:p>
        </rich>
      </tx>
      <overlay val="1"/>
    </title>
    <plotArea>
      <layout/>
      <barChart>
        <barDir val="col"/>
        <grouping val="clustered"/>
        <varyColors val="1"/>
        <ser>
          <idx val="0"/>
          <order val="0"/>
          <tx>
            <strRef>
              <f>'🔄 Subscriptions'!$O$21</f>
              <strCache>
                <ptCount val="1"/>
                <pt idx="0">
                  <v>Monthly BRL</v>
                </pt>
              </strCache>
            </strRef>
          </tx>
          <spPr>
            <a:ln>
              <a:prstDash val="solid"/>
            </a:ln>
          </spPr>
          <invertIfNegative val="1"/>
          <cat>
            <strRef>
              <f>'🔄 Subscriptions'!$N$22:$N$25</f>
              <strCache>
                <ptCount val="4"/>
                <pt idx="0">
                  <v>HIGH</v>
                </pt>
                <pt idx="1">
                  <v>MEDIUM</v>
                </pt>
                <pt idx="2">
                  <v>LOW</v>
                </pt>
                <pt idx="3">
                  <v>UNKNOWN</v>
                </pt>
              </strCache>
            </strRef>
          </cat>
          <val>
            <numRef>
              <f>'🔄 Subscriptions'!$O$22:$O$25</f>
              <numCache>
                <formatCode>#,##0.00</formatCode>
                <ptCount val="4"/>
                <pt idx="0">
                  <v>530.79</v>
                </pt>
                <pt idx="1">
                  <v>254.4166666666667</v>
                </pt>
                <pt idx="2">
                  <v>95.53333333333333</v>
                </pt>
                <pt idx="3">
                  <v>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0.00" sourceLinked="1"/>
        <majorTickMark val="none"/>
        <minorTickMark val="none"/>
        <tickLblPos val="nextTo"/>
        <crossAx val="10"/>
        <crosses val="autoZero"/>
        <crossBetween val="between"/>
      </valAx>
    </plotArea>
    <legend>
      <legendPos val="r"/>
      <overlay val="0"/>
    </legend>
    <plotVisOnly val="1"/>
    <dispBlanksAs val="gap"/>
  </chart>
</chartSpace>
</file>

<file path=xl/comments/comment1.xml><?xml version="1.0" encoding="utf-8"?>
<comments xmlns="http://schemas.openxmlformats.org/spreadsheetml/2006/main">
  <authors>
    <author>fix_dataentry_top3</author>
  </authors>
  <commentList>
    <comment ref="I8" authorId="0" shapeId="0">
      <text>
        <t>Sem cobranças separadas identificáveis; todo o gasto Manus atribuído à linha 9 para evitar dupla contagem.</t>
      </text>
    </comment>
    <comment ref="I9" authorId="0" shapeId="0">
      <text>
        <t>Estimativa: média móvel 6m das cobranças reais de Manus em Transactions (R$2.510,56 / 6). Serviço por créditos, sem preço fixo.</t>
      </text>
    </comment>
    <comment ref="I11" authorId="0" shapeId="0">
      <text>
        <t>Estimativa: média móvel 6m (uma compra de crédito de R$272,21 / 6).</t>
      </text>
    </comment>
  </commentList>
</comments>
</file>

<file path=xl/comments/comment2.xml><?xml version="1.0" encoding="utf-8"?>
<comments xmlns="http://schemas.openxmlformats.org/spreadsheetml/2006/main">
  <authors>
    <author>fix_round2</author>
  </authors>
  <commentList>
    <comment ref="A1" authorId="0" shapeId="0">
      <text>
        <t>FONTE DE VERDADE do gasto no cartão MP (146 tx). 💳 Transactions é um subconjunto curado disto; ~R$8.744 em linhas MERCADOLIVRE* também aparecem itemizadas em 🛒 ML iFood. Não somar as abas entre si.</t>
      </text>
    </comment>
  </commentList>
</comments>
</file>

<file path=xl/comments/comment3.xml><?xml version="1.0" encoding="utf-8"?>
<comments xmlns="http://schemas.openxmlformats.org/spreadsheetml/2006/main">
  <authors>
    <author>fix_round2</author>
  </authors>
  <commentList>
    <comment ref="A1" authorId="0" shapeId="0">
      <text>
        <t>As compras Mercado Livre pagas no cartão MP (~R$8.744, 9 linhas) também constam em 💳 MP Faturas. Esta aba itemiza; não somar junto com MP Faturas.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47</row>
      <rowOff>0</rowOff>
    </from>
    <ext cx="432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6</row>
      <rowOff>0</rowOff>
    </from>
    <ext cx="3600000" cy="288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26</row>
      <rowOff>0</rowOff>
    </from>
    <ext cx="43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1:G37"/>
  <sheetViews>
    <sheetView showGridLines="0" tabSelected="1" topLeftCell="B1" workbookViewId="0">
      <selection activeCell="A1" sqref="A1"/>
    </sheetView>
  </sheetViews>
  <sheetFormatPr baseColWidth="10" defaultColWidth="8.83203125" defaultRowHeight="15"/>
  <cols>
    <col width="3" customWidth="1" style="124" min="1" max="1"/>
    <col width="36" customWidth="1" style="124" min="2" max="2"/>
    <col width="22" customWidth="1" style="124" min="3" max="4"/>
    <col width="18" customWidth="1" style="124" min="5" max="6"/>
    <col width="26" customWidth="1" style="124" min="7" max="7"/>
  </cols>
  <sheetData>
    <row r="1" ht="36" customHeight="1" s="124">
      <c r="B1" s="126" t="inlineStr">
        <is>
          <t>financas-2026 · Sync Sheet — REAL DATA LOADED</t>
        </is>
      </c>
    </row>
    <row r="2" ht="22" customHeight="1" s="124">
      <c r="B2" s="123" t="inlineStr">
        <is>
          <t>BB Brasil CSV · MP Invoice JSON · BCB Câmbio PDF · Subscription xlsx · Loaded: 2026-07-02</t>
        </is>
      </c>
    </row>
    <row r="4" ht="17" customHeight="1" s="124">
      <c r="B4" s="1" t="inlineStr">
        <is>
          <t>Last Updated</t>
        </is>
      </c>
      <c r="C4" s="2" t="n">
        <v>46205</v>
      </c>
      <c r="E4" s="1" t="inlineStr">
        <is>
          <t>Period</t>
        </is>
      </c>
      <c r="F4" s="3" t="inlineStr">
        <is>
          <t>Jan – Jun 2026</t>
        </is>
      </c>
    </row>
    <row r="6" ht="26" customHeight="1" s="124">
      <c r="B6" s="4" t="inlineStr">
        <is>
          <t>DASHBOARD VARIABLE</t>
        </is>
      </c>
      <c r="C6" s="4" t="inlineStr">
        <is>
          <t>CURRENT VALUE</t>
        </is>
      </c>
      <c r="D6" s="4" t="inlineStr">
        <is>
          <t>PREV VALUE (manual)</t>
        </is>
      </c>
      <c r="E6" s="4" t="inlineStr">
        <is>
          <t>CHANGE</t>
        </is>
      </c>
      <c r="F6" s="4" t="inlineStr">
        <is>
          <t>STATUS</t>
        </is>
      </c>
      <c r="G6" s="4" t="inlineStr">
        <is>
          <t>SOURCE</t>
        </is>
      </c>
    </row>
    <row r="7" ht="22" customHeight="1" s="124">
      <c r="B7" s="128" t="inlineStr">
        <is>
          <t xml:space="preserve">  🏦  BANKS</t>
        </is>
      </c>
    </row>
    <row r="8" ht="24" customHeight="1" s="124">
      <c r="B8" s="5" t="inlineStr">
        <is>
          <t>BB Brasil (confirmed 30/06/2026)</t>
        </is>
      </c>
      <c r="C8" s="6">
        <f>'🏦 Banks'!C4</f>
        <v/>
      </c>
      <c r="D8" s="7" t="n">
        <v>0</v>
      </c>
      <c r="E8" s="8">
        <f>C8-D8</f>
        <v/>
      </c>
      <c r="F8" s="9">
        <f>IF(E8=0,"—",IF(E8&gt;0,"▲ Up","▼ Down"))</f>
        <v/>
      </c>
      <c r="G8" s="10" t="inlineStr">
        <is>
          <t>Extrato CSV ✅</t>
        </is>
      </c>
    </row>
    <row r="9" ht="24" customHeight="1" s="124">
      <c r="B9" s="5" t="inlineStr">
        <is>
          <t>Mercado Pago</t>
        </is>
      </c>
      <c r="C9" s="6">
        <f>'🏦 Banks'!C5</f>
        <v/>
      </c>
      <c r="D9" s="7" t="n">
        <v>0</v>
      </c>
      <c r="E9" s="8">
        <f>C9-D9</f>
        <v/>
      </c>
      <c r="F9" s="9">
        <f>IF(E9=0,"—",IF(E9&gt;0,"▲ Up","▼ Down"))</f>
        <v/>
      </c>
      <c r="G9" s="10" t="inlineStr">
        <is>
          <t>Manual ⚠</t>
        </is>
      </c>
    </row>
    <row r="10" ht="24" customHeight="1" s="124">
      <c r="B10" s="5" t="inlineStr">
        <is>
          <t>Banco Inter</t>
        </is>
      </c>
      <c r="C10" s="6">
        <f>'🏦 Banks'!C6</f>
        <v/>
      </c>
      <c r="D10" s="7" t="n">
        <v>0</v>
      </c>
      <c r="E10" s="8">
        <f>C10-D10</f>
        <v/>
      </c>
      <c r="F10" s="9">
        <f>IF(E10=0,"—",IF(E10&gt;0,"▲ Up","▼ Down"))</f>
        <v/>
      </c>
      <c r="G10" s="10" t="inlineStr">
        <is>
          <t>Manual ⚠</t>
        </is>
      </c>
    </row>
    <row r="11" ht="24" customHeight="1" s="124">
      <c r="B11" s="5" t="inlineStr">
        <is>
          <t>TOTAL Liquidity</t>
        </is>
      </c>
      <c r="C11" s="6">
        <f>'🏦 Banks'!C9</f>
        <v/>
      </c>
      <c r="D11" s="7" t="n">
        <v>0</v>
      </c>
      <c r="E11" s="8">
        <f>C11-D11</f>
        <v/>
      </c>
      <c r="F11" s="9">
        <f>IF(E11=0,"—",IF(E11&gt;0,"▲ Up","▼ Down"))</f>
        <v/>
      </c>
      <c r="G11" s="10" t="inlineStr">
        <is>
          <t>Auto-sum</t>
        </is>
      </c>
    </row>
    <row r="12" ht="22" customHeight="1" s="124">
      <c r="B12" s="128" t="inlineStr">
        <is>
          <t xml:space="preserve">  💳  CARD TRANSACTIONS</t>
        </is>
      </c>
    </row>
    <row r="13" ht="24" customHeight="1" s="124">
      <c r="B13" s="5" t="inlineStr">
        <is>
          <t>AI/Assinaturas no cartão — 72 tx (subconjunto)</t>
        </is>
      </c>
      <c r="C13" s="6">
        <f>SUM('💳 Transactions'!G4:G200)</f>
        <v/>
      </c>
      <c r="D13" s="7" t="n">
        <v>0</v>
      </c>
      <c r="E13" s="8">
        <f>C13-D13</f>
        <v/>
      </c>
      <c r="F13" s="9">
        <f>IF(E13=0,"—",IF(E13&gt;0,"▲ Up","▼ Down"))</f>
        <v/>
      </c>
      <c r="G13" s="10" t="inlineStr">
        <is>
          <t>Subset curado ⚠ (ver total real abaixo)</t>
        </is>
      </c>
    </row>
    <row r="14" ht="24" customHeight="1" s="124">
      <c r="B14" s="5" t="inlineStr">
        <is>
          <t>CANCEL total (savings opportunity)</t>
        </is>
      </c>
      <c r="C14" s="6">
        <f>SUM('💳 Transactions'!H4:H200)</f>
        <v/>
      </c>
      <c r="D14" s="7" t="n">
        <v>0</v>
      </c>
      <c r="E14" s="8">
        <f>C14-D14</f>
        <v/>
      </c>
      <c r="F14" s="9">
        <f>IF(E14=0,"—",IF(E14&gt;0,"▲ Up","▼ Down"))</f>
        <v/>
      </c>
      <c r="G14" s="10" t="inlineStr">
        <is>
          <t>Subscription xlsx ✅</t>
        </is>
      </c>
    </row>
    <row r="15" ht="22" customHeight="1" s="124">
      <c r="B15" s="128" t="inlineStr">
        <is>
          <t xml:space="preserve">  🔄  SUBSCRIPTIONS</t>
        </is>
      </c>
    </row>
    <row r="16" ht="24" customHeight="1" s="124">
      <c r="B16" s="5" t="inlineStr">
        <is>
          <t>Active monthly total — 15 services tracked</t>
        </is>
      </c>
      <c r="C16" s="6">
        <f>SUMIF('🔄 Subscriptions'!L4:L50,"KEEP",'🔄 Subscriptions'!I4:I50)</f>
        <v/>
      </c>
      <c r="D16" s="7" t="n">
        <v>0</v>
      </c>
      <c r="E16" s="8">
        <f>C16-D16</f>
        <v/>
      </c>
      <c r="F16" s="9">
        <f>IF(E16=0,"—",IF(E16&gt;0,"▲ Up","▼ Down"))</f>
        <v/>
      </c>
      <c r="G16" s="10" t="inlineStr">
        <is>
          <t>Subscription xlsx ✅</t>
        </is>
      </c>
    </row>
    <row r="17" ht="24" customHeight="1" s="124">
      <c r="B17" s="5" t="inlineStr">
        <is>
          <t>CANCEL savings/month</t>
        </is>
      </c>
      <c r="C17" s="6">
        <f>SUMIF('🔄 Subscriptions'!L4:L50,"CANCEL",'🔄 Subscriptions'!I4:I50)</f>
        <v/>
      </c>
      <c r="D17" s="7" t="n">
        <v>0</v>
      </c>
      <c r="E17" s="8">
        <f>C17-D17</f>
        <v/>
      </c>
      <c r="F17" s="9">
        <f>IF(E17=0,"—",IF(E17&gt;0,"▲ Up","▼ Down"))</f>
        <v/>
      </c>
      <c r="G17" s="10" t="inlineStr">
        <is>
          <t>Subscription xlsx ✅</t>
        </is>
      </c>
    </row>
    <row r="18" ht="22" customHeight="1" s="124">
      <c r="B18" s="128" t="inlineStr">
        <is>
          <t xml:space="preserve">  ❌  CANCEL TRACKER</t>
        </is>
      </c>
    </row>
    <row r="19" ht="24" customHeight="1" s="124">
      <c r="B19" s="5" t="inlineStr">
        <is>
          <t># Cancel items (4 pre-loaded)</t>
        </is>
      </c>
      <c r="C19" s="6">
        <f>COUNTA('❌ Cancel Tracker'!B4:B50)</f>
        <v/>
      </c>
      <c r="D19" s="7" t="n">
        <v>0</v>
      </c>
      <c r="E19" s="8">
        <f>C19-D19</f>
        <v/>
      </c>
      <c r="F19" s="9">
        <f>IF(E19=0,"—",IF(E19&gt;0,"▲ Up","▼ Down"))</f>
        <v/>
      </c>
      <c r="G19" s="10" t="inlineStr">
        <is>
          <t>Sub xlsx decisions ✅</t>
        </is>
      </c>
    </row>
    <row r="20" ht="24" customHeight="1" s="124">
      <c r="B20" s="5" t="inlineStr">
        <is>
          <t>Monthly cost at stake</t>
        </is>
      </c>
      <c r="C20" s="6">
        <f>SUM('❌ Cancel Tracker'!D4:D50)</f>
        <v/>
      </c>
      <c r="D20" s="7" t="n">
        <v>0</v>
      </c>
      <c r="E20" s="8">
        <f>C20-D20</f>
        <v/>
      </c>
      <c r="F20" s="9">
        <f>IF(E20=0,"—",IF(E20&gt;0,"▲ Up","▼ Down"))</f>
        <v/>
      </c>
      <c r="G20" s="10" t="inlineStr">
        <is>
          <t>Sub xlsx ✅</t>
        </is>
      </c>
    </row>
    <row r="21" ht="22" customHeight="1" s="124">
      <c r="B21" s="128" t="inlineStr">
        <is>
          <t xml:space="preserve">  🌉  CASH BRIDGE — BB Brasil PIX</t>
        </is>
      </c>
    </row>
    <row r="22" ht="24" customHeight="1" s="124">
      <c r="B22" s="5" t="inlineStr">
        <is>
          <t>PIX In (self-transfers received)</t>
        </is>
      </c>
      <c r="C22" s="6">
        <f>SUMIF('🌉 Cash Bridge'!C4:C100,"PIX In",'🌉 Cash Bridge'!E4:E100)</f>
        <v/>
      </c>
      <c r="D22" s="7" t="n">
        <v>0</v>
      </c>
      <c r="E22" s="8">
        <f>C22-D22</f>
        <v/>
      </c>
      <c r="F22" s="9">
        <f>IF(E22=0,"—",IF(E22&gt;0,"▲ Up","▼ Down"))</f>
        <v/>
      </c>
      <c r="G22" s="10" t="inlineStr">
        <is>
          <t>Extrato CSV ✅</t>
        </is>
      </c>
    </row>
    <row r="23" ht="24" customHeight="1" s="124">
      <c r="B23" s="5" t="inlineStr">
        <is>
          <t>PIX Out (sent)</t>
        </is>
      </c>
      <c r="C23" s="6">
        <f>SUMIF('🌉 Cash Bridge'!C4:C100,"PIX Out",'🌉 Cash Bridge'!E4:E100)</f>
        <v/>
      </c>
      <c r="D23" s="7" t="n">
        <v>0</v>
      </c>
      <c r="E23" s="8">
        <f>C23-D23</f>
        <v/>
      </c>
      <c r="F23" s="9">
        <f>IF(E23=0,"—",IF(E23&gt;0,"▲ Up","▼ Down"))</f>
        <v/>
      </c>
      <c r="G23" s="10" t="inlineStr">
        <is>
          <t>Extrato CSV ✅</t>
        </is>
      </c>
    </row>
    <row r="24" ht="24" customHeight="1" s="124">
      <c r="B24" s="5" t="inlineStr">
        <is>
          <t>FX / Câmbio outflows</t>
        </is>
      </c>
      <c r="C24" s="6">
        <f>SUM('🌉 Cash Bridge'!F4:F100)</f>
        <v/>
      </c>
      <c r="D24" s="7" t="n">
        <v>0</v>
      </c>
      <c r="E24" s="8">
        <f>C24-D24</f>
        <v/>
      </c>
      <c r="F24" s="9">
        <f>IF(E24=0,"—",IF(E24&gt;0,"▲ Up","▼ Down"))</f>
        <v/>
      </c>
      <c r="G24" s="10" t="inlineStr">
        <is>
          <t>Extrato CSV ✅</t>
        </is>
      </c>
    </row>
    <row r="25" ht="22" customHeight="1" s="124">
      <c r="B25" s="128" t="inlineStr">
        <is>
          <t xml:space="preserve">  🌍  INTERNATIONAL — BCB Câmbio 2026</t>
        </is>
      </c>
    </row>
    <row r="26" ht="24" customHeight="1" s="124">
      <c r="B26" s="5" t="inlineStr">
        <is>
          <t>Outbound remittances — 32 ops total</t>
        </is>
      </c>
      <c r="C26" s="6">
        <f>SUMIF('🌍 International'!H4:H100,"Outbound",'🌍 International'!F4:F100)</f>
        <v/>
      </c>
      <c r="D26" s="7" t="n">
        <v>0</v>
      </c>
      <c r="E26" s="8">
        <f>C26-D26</f>
        <v/>
      </c>
      <c r="F26" s="9">
        <f>IF(E26=0,"—",IF(E26&gt;0,"▲ Up","▼ Down"))</f>
        <v/>
      </c>
      <c r="G26" s="10" t="inlineStr">
        <is>
          <t>BCB PDF ✅</t>
        </is>
      </c>
    </row>
    <row r="27" ht="24" customHeight="1" s="124">
      <c r="B27" s="5" t="inlineStr">
        <is>
          <t>IB Deposits (BRL)</t>
        </is>
      </c>
      <c r="C27" s="6">
        <f>SUMIF('🌍 International'!H4:H100,"IB Deposit",'🌍 International'!F4:F100)</f>
        <v/>
      </c>
      <c r="D27" s="7" t="n">
        <v>0</v>
      </c>
      <c r="E27" s="8">
        <f>C27-D27</f>
        <v/>
      </c>
      <c r="F27" s="9">
        <f>IF(E27=0,"—",IF(E27&gt;0,"▲ Up","▼ Down"))</f>
        <v/>
      </c>
      <c r="G27" s="10" t="inlineStr">
        <is>
          <t>BCB PDF ✅</t>
        </is>
      </c>
    </row>
    <row r="28" ht="24" customHeight="1" s="124">
      <c r="B28" s="5" t="inlineStr">
        <is>
          <t>Fund Deposits (BRL)</t>
        </is>
      </c>
      <c r="C28" s="6">
        <f>SUMIF('🌍 International'!H4:H100,"Fund Deposit",'🌍 International'!F4:F100)</f>
        <v/>
      </c>
      <c r="D28" s="7" t="n">
        <v>0</v>
      </c>
      <c r="E28" s="8">
        <f>C28-D28</f>
        <v/>
      </c>
      <c r="F28" s="9">
        <f>IF(E28=0,"—",IF(E28&gt;0,"▲ Up","▼ Down"))</f>
        <v/>
      </c>
      <c r="G28" s="10" t="inlineStr">
        <is>
          <t>BCB PDF ✅</t>
        </is>
      </c>
    </row>
    <row r="29" ht="24" customHeight="1" s="124">
      <c r="B29" s="5" t="inlineStr">
        <is>
          <t>Inbound (BRL)</t>
        </is>
      </c>
      <c r="C29" s="6">
        <f>SUMIF('🌍 International'!H4:H100,"Inbound",'🌍 International'!F4:F100)</f>
        <v/>
      </c>
      <c r="D29" s="7" t="n">
        <v>0</v>
      </c>
      <c r="E29" s="8">
        <f>C29-D29</f>
        <v/>
      </c>
      <c r="F29" s="9">
        <f>IF(E29=0,"—",IF(E29&gt;0,"▲ Up","▼ Down"))</f>
        <v/>
      </c>
      <c r="G29" s="10" t="inlineStr">
        <is>
          <t>BCB PDF ✅</t>
        </is>
      </c>
    </row>
    <row r="31" ht="22" customHeight="1" s="124">
      <c r="B31" s="125" t="inlineStr">
        <is>
          <t>🟡 Yellow = manual input   🟢 Green = cross-sheet auto   ⚫ Black = formula</t>
        </is>
      </c>
    </row>
    <row r="32" ht="22" customHeight="1" s="124">
      <c r="B32" s="127" t="inlineStr">
        <is>
          <t>SUNDAY:  1) Add transactions  2) Update bank balances  3) Check SYNC  4) Paste into HTML dashboard  Done.</t>
        </is>
      </c>
    </row>
    <row r="34">
      <c r="B34" t="inlineStr">
        <is>
          <t xml:space="preserve">  💳  FATURAS COMPLETAS &amp; MARKETPLACE (estava órfão)</t>
        </is>
      </c>
    </row>
    <row r="35">
      <c r="B35" t="inlineStr">
        <is>
          <t>Total Fatura MP — 146 tx (cartão completo)</t>
        </is>
      </c>
      <c r="C35">
        <f>SUM('💳 MP Faturas'!D4:D149)</f>
        <v/>
      </c>
      <c r="G35" t="inlineStr">
        <is>
          <t>MP Faturas ✅</t>
        </is>
      </c>
    </row>
    <row r="36">
      <c r="B36" t="inlineStr">
        <is>
          <t>Mercado Livre — entregues</t>
        </is>
      </c>
      <c r="C36">
        <f>SUMIFS('🛒 ML iFood'!D4:D72,'🛒 ML iFood'!B4:B72,"Mercado Livre",'🛒 ML iFood'!F4:F72,"delivered")</f>
        <v/>
      </c>
      <c r="G36" t="inlineStr">
        <is>
          <t>ML iFood ✅</t>
        </is>
      </c>
    </row>
    <row r="37">
      <c r="B37" t="inlineStr">
        <is>
          <t>iFood — pedidos</t>
        </is>
      </c>
      <c r="C37">
        <f>SUMIFS('🛒 ML iFood'!D4:D72,'🛒 ML iFood'!B4:B72,"iFood")</f>
        <v/>
      </c>
      <c r="G37" t="inlineStr">
        <is>
          <t>ML iFood ✅</t>
        </is>
      </c>
    </row>
  </sheetData>
  <mergeCells count="10">
    <mergeCell ref="B2:G2"/>
    <mergeCell ref="B31:G31"/>
    <mergeCell ref="B1:G1"/>
    <mergeCell ref="B32:G32"/>
    <mergeCell ref="B12:G12"/>
    <mergeCell ref="B18:G18"/>
    <mergeCell ref="B21:G21"/>
    <mergeCell ref="B15:G15"/>
    <mergeCell ref="B7:G7"/>
    <mergeCell ref="B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1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30" customWidth="1" style="124" min="2" max="2"/>
    <col width="22" customWidth="1" style="124" min="3" max="4"/>
    <col width="18" customWidth="1" style="124" min="5" max="5"/>
    <col width="22" customWidth="1" style="124" min="6" max="6"/>
    <col width="34" customWidth="1" style="124" min="7" max="7"/>
  </cols>
  <sheetData>
    <row r="1" ht="36" customHeight="1" s="124">
      <c r="B1" s="126" t="inlineStr">
        <is>
          <t>🏦  Banks &amp; Account Balances — Jan–Jun 2026</t>
        </is>
      </c>
    </row>
    <row r="2" ht="22" customHeight="1" s="124">
      <c r="B2" s="123" t="inlineStr">
        <is>
          <t>BB Brasil confirmed R$42,112.59 from extrato CSV 30/06/2026 · Other accounts require manual input</t>
        </is>
      </c>
    </row>
    <row r="3" ht="26" customHeight="1" s="124">
      <c r="B3" s="4" t="inlineStr">
        <is>
          <t>Institution</t>
        </is>
      </c>
      <c r="C3" s="4" t="inlineStr">
        <is>
          <t>Balance (BRL)</t>
        </is>
      </c>
      <c r="D3" s="4" t="inlineStr">
        <is>
          <t>Prev Balance</t>
        </is>
      </c>
      <c r="E3" s="4" t="inlineStr">
        <is>
          <t>Change</t>
        </is>
      </c>
      <c r="F3" s="4" t="inlineStr">
        <is>
          <t>Last Updated</t>
        </is>
      </c>
      <c r="G3" s="4" t="inlineStr">
        <is>
          <t>Notes / Source</t>
        </is>
      </c>
    </row>
    <row r="4" ht="24" customHeight="1" s="124">
      <c r="B4" s="11" t="inlineStr">
        <is>
          <t>BB Brasil</t>
        </is>
      </c>
      <c r="C4" s="12" t="n">
        <v>42112.59</v>
      </c>
      <c r="D4" s="7" t="n">
        <v>0</v>
      </c>
      <c r="E4" s="8">
        <f>C4-D4</f>
        <v/>
      </c>
      <c r="F4" s="2" t="n">
        <v>46203</v>
      </c>
      <c r="G4" s="13" t="inlineStr">
        <is>
          <t>✅ Confirmed · Extrato CSV · Account 6627102</t>
        </is>
      </c>
    </row>
    <row r="5" ht="24" customHeight="1" s="124">
      <c r="B5" s="11" t="inlineStr">
        <is>
          <t>Mercado Pago</t>
        </is>
      </c>
      <c r="C5" s="14" t="n">
        <v>10102.81</v>
      </c>
      <c r="D5" s="7" t="n">
        <v>0</v>
      </c>
      <c r="E5" s="8">
        <f>C5-D5</f>
        <v/>
      </c>
      <c r="F5" s="2" t="n">
        <v>46208</v>
      </c>
      <c r="G5" s="15" t="inlineStr">
        <is>
          <t>✅ Confirmed · Extrato MP 29/06–05/07/2026 · Fatura jun R$6.813,48 paga (venc. 10/06)</t>
        </is>
      </c>
    </row>
    <row r="6" ht="24" customHeight="1" s="124">
      <c r="B6" s="11" t="inlineStr">
        <is>
          <t>Banco Inter</t>
        </is>
      </c>
      <c r="C6" s="14" t="n">
        <v>0</v>
      </c>
      <c r="D6" s="7" t="n">
        <v>0</v>
      </c>
      <c r="E6" s="8">
        <f>C6-D6</f>
        <v/>
      </c>
      <c r="F6" s="2" t="n">
        <v>46205</v>
      </c>
      <c r="G6" s="15" t="inlineStr">
        <is>
          <t>⚠ Manual input required · Account 000662710-2 (PIX active)</t>
        </is>
      </c>
    </row>
    <row r="7" ht="24" customHeight="1" s="124">
      <c r="B7" s="11" t="inlineStr">
        <is>
          <t>BCB Registrato</t>
        </is>
      </c>
      <c r="C7" s="16" t="n">
        <v>0</v>
      </c>
      <c r="D7" s="7" t="n">
        <v>0</v>
      </c>
      <c r="E7" s="8">
        <f>C7-D7</f>
        <v/>
      </c>
      <c r="F7" s="2" t="n">
        <v>46205</v>
      </c>
      <c r="G7" s="17" t="inlineStr">
        <is>
          <t>⚠ Registry only — no balance in CCS report</t>
        </is>
      </c>
    </row>
    <row r="9" ht="28" customHeight="1" s="124">
      <c r="B9" s="18" t="inlineStr">
        <is>
          <t>TOTAL LIQUIDITY</t>
        </is>
      </c>
      <c r="C9" s="19">
        <f>SUM(C4:C8)</f>
        <v/>
      </c>
    </row>
    <row r="11" ht="32" customHeight="1" s="124">
      <c r="B11" s="129" t="inlineStr">
        <is>
          <t>BCB CCS ACTIVE: BB Brasil (2002) · Ágora CTVM · Bradrado · XP · CEF · Banco Inter (2016) · Mercado Pago (2020) · BIPA · Celcoin · Wise Brasil (all active 29/06/2026)</t>
        </is>
      </c>
    </row>
  </sheetData>
  <mergeCells count="3">
    <mergeCell ref="B2:G2"/>
    <mergeCell ref="B11:G11"/>
    <mergeCell ref="B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N7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14" customWidth="1" style="124" min="2" max="3"/>
    <col width="36" customWidth="1" style="124" min="4" max="4"/>
    <col width="22" customWidth="1" style="124" min="5" max="5"/>
    <col width="16" customWidth="1" style="124" min="6" max="7"/>
    <col width="14" customWidth="1" style="124" min="8" max="9"/>
    <col width="40" customWidth="1" style="124" min="10" max="10"/>
    <col width="26" customWidth="1" style="124" min="12" max="12"/>
    <col width="12" customWidth="1" style="124" min="13" max="13"/>
    <col width="8" customWidth="1" style="124" min="14" max="14"/>
  </cols>
  <sheetData>
    <row r="1" ht="36" customHeight="1" s="124">
      <c r="B1" s="126" t="inlineStr">
        <is>
          <t>💳  Card Transactions — Jan–Jun 2026  (72 entries)</t>
        </is>
      </c>
      <c r="L1" s="109" t="inlineStr">
        <is>
          <t>📊 Spend by Decision</t>
        </is>
      </c>
    </row>
    <row r="2" ht="22" customHeight="1" s="124">
      <c r="B2" s="123" t="inlineStr">
        <is>
          <t>Source: subscription_budget_dashboard_v3_deduped.xlsx · SUBCONJUNTO de 💳 MP Faturas (só cobranças AI/assinatura) — NÃO somar junto com MP Faturas</t>
        </is>
      </c>
      <c r="L2" s="110" t="inlineStr">
        <is>
          <t>Decision</t>
        </is>
      </c>
      <c r="M2" s="110" t="inlineStr">
        <is>
          <t>Total BRL</t>
        </is>
      </c>
      <c r="N2" s="110" t="inlineStr">
        <is>
          <t>Count</t>
        </is>
      </c>
    </row>
    <row r="3" ht="26" customHeight="1" s="124">
      <c r="B3" s="4" t="inlineStr">
        <is>
          <t>#</t>
        </is>
      </c>
      <c r="C3" s="4" t="inlineStr">
        <is>
          <t>Invoice</t>
        </is>
      </c>
      <c r="D3" s="4" t="inlineStr">
        <is>
          <t>Tx Date</t>
        </is>
      </c>
      <c r="E3" s="4" t="inlineStr">
        <is>
          <t>Merchant</t>
        </is>
      </c>
      <c r="F3" s="4" t="inlineStr">
        <is>
          <t>Category</t>
        </is>
      </c>
      <c r="G3" s="4" t="inlineStr">
        <is>
          <t>Amount BRL</t>
        </is>
      </c>
      <c r="H3" s="4" t="inlineStr">
        <is>
          <t>USD</t>
        </is>
      </c>
      <c r="I3" s="4" t="inlineStr">
        <is>
          <t>Decision</t>
        </is>
      </c>
      <c r="J3" s="4" t="inlineStr">
        <is>
          <t>Operator Note</t>
        </is>
      </c>
      <c r="L3" t="inlineStr">
        <is>
          <t>KEEP</t>
        </is>
      </c>
      <c r="M3" s="111">
        <f>SUMIF($I$4:$I$75,L3,$G$4:$G$75)</f>
        <v/>
      </c>
      <c r="N3">
        <f>COUNTIF($I$4:$I$75,L3)</f>
        <v/>
      </c>
    </row>
    <row r="4" ht="22" customHeight="1" s="124">
      <c r="B4" s="20" t="n">
        <v>1</v>
      </c>
      <c r="C4" s="21" t="inlineStr">
        <is>
          <t>2026-01</t>
        </is>
      </c>
      <c r="D4" s="22" t="n">
        <v>45996</v>
      </c>
      <c r="E4" s="23" t="inlineStr">
        <is>
          <t>OpenAI ChatGPT Subscription</t>
        </is>
      </c>
      <c r="F4" s="23" t="inlineStr">
        <is>
          <t>AI - General</t>
        </is>
      </c>
      <c r="G4" s="24" t="n">
        <v>-110.54</v>
      </c>
      <c r="H4" s="25" t="n">
        <v>20</v>
      </c>
      <c r="I4" s="26" t="inlineStr">
        <is>
          <t>REVIEW</t>
        </is>
      </c>
      <c r="J4" s="27" t="inlineStr">
        <is>
          <t>Second ChatGPT monthly charge on prior card; duplicate with 20/12</t>
        </is>
      </c>
      <c r="L4" t="inlineStr">
        <is>
          <t>CANCEL</t>
        </is>
      </c>
      <c r="M4" s="111">
        <f>SUMIF($I$4:$I$75,L4,$G$4:$G$75)</f>
        <v/>
      </c>
      <c r="N4">
        <f>COUNTIF($I$4:$I$75,L4)</f>
        <v/>
      </c>
    </row>
    <row r="5" ht="22" customHeight="1" s="124">
      <c r="B5" s="20" t="n">
        <v>2</v>
      </c>
      <c r="C5" s="21" t="inlineStr">
        <is>
          <t>2026-01</t>
        </is>
      </c>
      <c r="D5" s="22" t="n">
        <v>45997</v>
      </c>
      <c r="E5" s="23" t="inlineStr">
        <is>
          <t>Paddle.net OnlineTLS</t>
        </is>
      </c>
      <c r="F5" s="23" t="inlineStr">
        <is>
          <t>Developer/Unknown</t>
        </is>
      </c>
      <c r="G5" s="24" t="n">
        <v>-10.25</v>
      </c>
      <c r="H5" s="28" t="n"/>
      <c r="I5" s="26" t="inlineStr">
        <is>
          <t>REVIEW</t>
        </is>
      </c>
      <c r="J5" s="27" t="inlineStr">
        <is>
          <t>Small developer subscription; verify need</t>
        </is>
      </c>
      <c r="L5" t="inlineStr">
        <is>
          <t>REVIEW</t>
        </is>
      </c>
      <c r="M5" s="111">
        <f>SUMIF($I$4:$I$75,L5,$G$4:$G$75)</f>
        <v/>
      </c>
      <c r="N5">
        <f>COUNTIF($I$4:$I$75,L5)</f>
        <v/>
      </c>
    </row>
    <row r="6" ht="22" customHeight="1" s="124">
      <c r="B6" s="29" t="n">
        <v>3</v>
      </c>
      <c r="C6" s="30" t="inlineStr">
        <is>
          <t>2026-01</t>
        </is>
      </c>
      <c r="D6" s="31" t="n">
        <v>45999</v>
      </c>
      <c r="E6" s="32" t="inlineStr">
        <is>
          <t>Apple.com/Bill</t>
        </is>
      </c>
      <c r="F6" s="32" t="inlineStr">
        <is>
          <t>Apple/Cloud</t>
        </is>
      </c>
      <c r="G6" s="33" t="n">
        <v>-21.9</v>
      </c>
      <c r="H6" s="34" t="n"/>
      <c r="I6" s="35" t="inlineStr">
        <is>
          <t>KEEP</t>
        </is>
      </c>
      <c r="J6" s="36" t="inlineStr">
        <is>
          <t>Likely iCloud+</t>
        </is>
      </c>
      <c r="L6" t="inlineStr">
        <is>
          <t>PAUSE</t>
        </is>
      </c>
      <c r="M6" s="111">
        <f>SUMIF($I$4:$I$75,L6,$G$4:$G$75)</f>
        <v/>
      </c>
      <c r="N6">
        <f>COUNTIF($I$4:$I$75,L6)</f>
        <v/>
      </c>
    </row>
    <row r="7" ht="22" customHeight="1" s="124">
      <c r="B7" s="20" t="n">
        <v>4</v>
      </c>
      <c r="C7" s="21" t="inlineStr">
        <is>
          <t>2026-01</t>
        </is>
      </c>
      <c r="D7" s="22" t="n">
        <v>46000</v>
      </c>
      <c r="E7" s="23" t="inlineStr">
        <is>
          <t>GitHub, Inc.</t>
        </is>
      </c>
      <c r="F7" s="23" t="inlineStr">
        <is>
          <t>Developer</t>
        </is>
      </c>
      <c r="G7" s="24" t="n">
        <v>-56.1</v>
      </c>
      <c r="H7" s="25" t="n">
        <v>10</v>
      </c>
      <c r="I7" s="26" t="inlineStr">
        <is>
          <t>REVIEW</t>
        </is>
      </c>
      <c r="J7" s="27" t="inlineStr">
        <is>
          <t>Recurring GitHub charge</t>
        </is>
      </c>
    </row>
    <row r="8" ht="22" customHeight="1" s="124">
      <c r="B8" s="29" t="n">
        <v>5</v>
      </c>
      <c r="C8" s="30" t="inlineStr">
        <is>
          <t>2026-01</t>
        </is>
      </c>
      <c r="D8" s="31" t="n">
        <v>46001</v>
      </c>
      <c r="E8" s="32" t="inlineStr">
        <is>
          <t>Apple.com/Bill</t>
        </is>
      </c>
      <c r="F8" s="32" t="inlineStr">
        <is>
          <t>Apple/Cloud</t>
        </is>
      </c>
      <c r="G8" s="33" t="n">
        <v>-19.9</v>
      </c>
      <c r="H8" s="34" t="n"/>
      <c r="I8" s="35" t="inlineStr">
        <is>
          <t>KEEP</t>
        </is>
      </c>
      <c r="J8" s="36" t="inlineStr">
        <is>
          <t>Likely iCloud+</t>
        </is>
      </c>
    </row>
    <row r="9" ht="22" customHeight="1" s="124">
      <c r="B9" s="37" t="n">
        <v>6</v>
      </c>
      <c r="C9" s="38" t="inlineStr">
        <is>
          <t>2026-01</t>
        </is>
      </c>
      <c r="D9" s="39" t="n">
        <v>46005</v>
      </c>
      <c r="E9" s="40" t="inlineStr">
        <is>
          <t>AI-PRO.ORG</t>
        </is>
      </c>
      <c r="F9" s="40" t="inlineStr">
        <is>
          <t>AI - Unknown</t>
        </is>
      </c>
      <c r="G9" s="41" t="n">
        <v>-117.99</v>
      </c>
      <c r="H9" s="42" t="n"/>
      <c r="I9" s="43" t="inlineStr">
        <is>
          <t>CANCEL</t>
        </is>
      </c>
      <c r="J9" s="44" t="inlineStr">
        <is>
          <t>Unclear AI subscription; high overlap risk</t>
        </is>
      </c>
    </row>
    <row r="10" ht="22" customHeight="1" s="124">
      <c r="B10" s="29" t="n">
        <v>7</v>
      </c>
      <c r="C10" s="30" t="inlineStr">
        <is>
          <t>2026-01</t>
        </is>
      </c>
      <c r="D10" s="31" t="n">
        <v>46011</v>
      </c>
      <c r="E10" s="32" t="inlineStr">
        <is>
          <t>OpenAI ChatGPT Subscription</t>
        </is>
      </c>
      <c r="F10" s="32" t="inlineStr">
        <is>
          <t>AI - General</t>
        </is>
      </c>
      <c r="G10" s="33" t="n">
        <v>-114.27</v>
      </c>
      <c r="H10" s="45" t="n">
        <v>20</v>
      </c>
      <c r="I10" s="35" t="inlineStr">
        <is>
          <t>KEEP</t>
        </is>
      </c>
      <c r="J10" s="36" t="inlineStr">
        <is>
          <t>Main assistant, but duplicate if multiple monthly charges</t>
        </is>
      </c>
    </row>
    <row r="11" ht="22" customHeight="1" s="124">
      <c r="B11" s="37" t="n">
        <v>8</v>
      </c>
      <c r="C11" s="38" t="inlineStr">
        <is>
          <t>2026-01</t>
        </is>
      </c>
      <c r="D11" s="39" t="n">
        <v>46015</v>
      </c>
      <c r="E11" s="40" t="inlineStr">
        <is>
          <t>Manus AI</t>
        </is>
      </c>
      <c r="F11" s="40" t="inlineStr">
        <is>
          <t>AI - Agent/Credits</t>
        </is>
      </c>
      <c r="G11" s="41" t="n">
        <v>-224.43</v>
      </c>
      <c r="H11" s="46" t="n">
        <v>39</v>
      </c>
      <c r="I11" s="43" t="inlineStr">
        <is>
          <t>CANCEL</t>
        </is>
      </c>
      <c r="J11" s="44" t="inlineStr">
        <is>
          <t>Usage/credits; high overlap</t>
        </is>
      </c>
    </row>
    <row r="12" ht="22" customHeight="1" s="124">
      <c r="B12" s="29" t="n">
        <v>9</v>
      </c>
      <c r="C12" s="30" t="inlineStr">
        <is>
          <t>2026-01</t>
        </is>
      </c>
      <c r="D12" s="31" t="n">
        <v>46024</v>
      </c>
      <c r="E12" s="32" t="inlineStr">
        <is>
          <t>Apple.com/Bill</t>
        </is>
      </c>
      <c r="F12" s="32" t="inlineStr">
        <is>
          <t>AI - Research/Apple-billed</t>
        </is>
      </c>
      <c r="G12" s="33" t="n">
        <v>-99.90000000000001</v>
      </c>
      <c r="H12" s="34" t="n"/>
      <c r="I12" s="35" t="inlineStr">
        <is>
          <t>KEEP</t>
        </is>
      </c>
      <c r="J12" s="36" t="inlineStr">
        <is>
          <t>Perplexity/Grok Apple billing candidate; verify receipt</t>
        </is>
      </c>
    </row>
    <row r="13" ht="22" customHeight="1" s="124">
      <c r="B13" s="37" t="n">
        <v>10</v>
      </c>
      <c r="C13" s="38" t="inlineStr">
        <is>
          <t>2026-01</t>
        </is>
      </c>
      <c r="D13" s="39" t="n">
        <v>46024</v>
      </c>
      <c r="E13" s="40" t="inlineStr">
        <is>
          <t>Manus AI</t>
        </is>
      </c>
      <c r="F13" s="40" t="inlineStr">
        <is>
          <t>AI - Agent/Credits</t>
        </is>
      </c>
      <c r="G13" s="41" t="n">
        <v>-41.51</v>
      </c>
      <c r="H13" s="42" t="n"/>
      <c r="I13" s="43" t="inlineStr">
        <is>
          <t>CANCEL</t>
        </is>
      </c>
      <c r="J13" s="44" t="inlineStr">
        <is>
          <t>Extra Manus charge</t>
        </is>
      </c>
    </row>
    <row r="14" ht="22" customHeight="1" s="124">
      <c r="B14" s="37" t="n">
        <v>11</v>
      </c>
      <c r="C14" s="38" t="inlineStr">
        <is>
          <t>2026-01</t>
        </is>
      </c>
      <c r="D14" s="39" t="n">
        <v>46026</v>
      </c>
      <c r="E14" s="40" t="inlineStr">
        <is>
          <t>Manus AI</t>
        </is>
      </c>
      <c r="F14" s="40" t="inlineStr">
        <is>
          <t>AI - Agent/Credits</t>
        </is>
      </c>
      <c r="G14" s="41" t="n">
        <v>-61.89</v>
      </c>
      <c r="H14" s="46" t="n">
        <v>10.99</v>
      </c>
      <c r="I14" s="43" t="inlineStr">
        <is>
          <t>CANCEL</t>
        </is>
      </c>
      <c r="J14" s="44" t="inlineStr">
        <is>
          <t>Extra Manus charge</t>
        </is>
      </c>
    </row>
    <row r="15" ht="22" customHeight="1" s="124">
      <c r="B15" s="29" t="n">
        <v>12</v>
      </c>
      <c r="C15" s="30" t="inlineStr">
        <is>
          <t>2026-02</t>
        </is>
      </c>
      <c r="D15" s="31" t="n">
        <v>46030</v>
      </c>
      <c r="E15" s="32" t="inlineStr">
        <is>
          <t>OpenAI ChatGPT Subscription</t>
        </is>
      </c>
      <c r="F15" s="32" t="inlineStr">
        <is>
          <t>AI - General</t>
        </is>
      </c>
      <c r="G15" s="33" t="n">
        <v>-111.58</v>
      </c>
      <c r="H15" s="45" t="n">
        <v>20</v>
      </c>
      <c r="I15" s="35" t="inlineStr">
        <is>
          <t>KEEP</t>
        </is>
      </c>
      <c r="J15" s="36" t="inlineStr">
        <is>
          <t>Monthly ChatGPT charge</t>
        </is>
      </c>
    </row>
    <row r="16" ht="22" customHeight="1" s="124">
      <c r="B16" s="29" t="n">
        <v>13</v>
      </c>
      <c r="C16" s="30" t="inlineStr">
        <is>
          <t>2026-02</t>
        </is>
      </c>
      <c r="D16" s="31" t="n">
        <v>46030</v>
      </c>
      <c r="E16" s="32" t="inlineStr">
        <is>
          <t>Apple.com/Bill</t>
        </is>
      </c>
      <c r="F16" s="32" t="inlineStr">
        <is>
          <t>Apple/Cloud</t>
        </is>
      </c>
      <c r="G16" s="33" t="n">
        <v>-21.9</v>
      </c>
      <c r="H16" s="34" t="n"/>
      <c r="I16" s="35" t="inlineStr">
        <is>
          <t>KEEP</t>
        </is>
      </c>
      <c r="J16" s="36" t="inlineStr">
        <is>
          <t>Apple recurring charge</t>
        </is>
      </c>
    </row>
    <row r="17" ht="22" customHeight="1" s="124">
      <c r="B17" s="29" t="n">
        <v>14</v>
      </c>
      <c r="C17" s="30" t="inlineStr">
        <is>
          <t>2026-02</t>
        </is>
      </c>
      <c r="D17" s="31" t="n">
        <v>46032</v>
      </c>
      <c r="E17" s="32" t="inlineStr">
        <is>
          <t>Apple.com/Bill</t>
        </is>
      </c>
      <c r="F17" s="32" t="inlineStr">
        <is>
          <t>Apple/Cloud</t>
        </is>
      </c>
      <c r="G17" s="33" t="n">
        <v>-19.9</v>
      </c>
      <c r="H17" s="34" t="n"/>
      <c r="I17" s="35" t="inlineStr">
        <is>
          <t>KEEP</t>
        </is>
      </c>
      <c r="J17" s="36" t="inlineStr">
        <is>
          <t>iCloud+</t>
        </is>
      </c>
    </row>
    <row r="18" ht="22" customHeight="1" s="124">
      <c r="B18" s="37" t="n">
        <v>15</v>
      </c>
      <c r="C18" s="38" t="inlineStr">
        <is>
          <t>2026-02</t>
        </is>
      </c>
      <c r="D18" s="39" t="n">
        <v>46036</v>
      </c>
      <c r="E18" s="40" t="inlineStr">
        <is>
          <t>Manus AI</t>
        </is>
      </c>
      <c r="F18" s="40" t="inlineStr">
        <is>
          <t>AI - Agent/Credits</t>
        </is>
      </c>
      <c r="G18" s="41" t="n">
        <v>-25.79</v>
      </c>
      <c r="H18" s="46" t="n">
        <v>4.63</v>
      </c>
      <c r="I18" s="43" t="inlineStr">
        <is>
          <t>CANCEL</t>
        </is>
      </c>
      <c r="J18" s="44" t="inlineStr">
        <is>
          <t>Small extra Manus charge</t>
        </is>
      </c>
    </row>
    <row r="19" ht="22" customHeight="1" s="124">
      <c r="B19" s="20" t="n">
        <v>16</v>
      </c>
      <c r="C19" s="21" t="inlineStr">
        <is>
          <t>2026-02</t>
        </is>
      </c>
      <c r="D19" s="22" t="n">
        <v>46039</v>
      </c>
      <c r="E19" s="23" t="inlineStr">
        <is>
          <t>OpenAI ChatGPT Subscription</t>
        </is>
      </c>
      <c r="F19" s="23" t="inlineStr">
        <is>
          <t>AI - General</t>
        </is>
      </c>
      <c r="G19" s="24" t="n">
        <v>-111.37</v>
      </c>
      <c r="H19" s="25" t="n">
        <v>20</v>
      </c>
      <c r="I19" s="26" t="inlineStr">
        <is>
          <t>REVIEW</t>
        </is>
      </c>
      <c r="J19" s="27" t="inlineStr">
        <is>
          <t>Second OpenAI subscription same cycle</t>
        </is>
      </c>
    </row>
    <row r="20" ht="22" customHeight="1" s="124">
      <c r="B20" s="37" t="n">
        <v>17</v>
      </c>
      <c r="C20" s="38" t="inlineStr">
        <is>
          <t>2026-02</t>
        </is>
      </c>
      <c r="D20" s="39" t="n">
        <v>46041</v>
      </c>
      <c r="E20" s="40" t="inlineStr">
        <is>
          <t>LEMSQZY Pineapple App</t>
        </is>
      </c>
      <c r="F20" s="40" t="inlineStr">
        <is>
          <t>AI/App Unknown</t>
        </is>
      </c>
      <c r="G20" s="41" t="n">
        <v>-111.11</v>
      </c>
      <c r="H20" s="46" t="n">
        <v>19.99</v>
      </c>
      <c r="I20" s="43" t="inlineStr">
        <is>
          <t>CANCEL</t>
        </is>
      </c>
      <c r="J20" s="44" t="inlineStr">
        <is>
          <t>Unclear app; likely duplicate subscription</t>
        </is>
      </c>
    </row>
    <row r="21" ht="22" customHeight="1" s="124">
      <c r="B21" s="37" t="n">
        <v>18</v>
      </c>
      <c r="C21" s="38" t="inlineStr">
        <is>
          <t>2026-02</t>
        </is>
      </c>
      <c r="D21" s="39" t="n">
        <v>46043</v>
      </c>
      <c r="E21" s="40" t="inlineStr">
        <is>
          <t>Claude.ai Subscription</t>
        </is>
      </c>
      <c r="F21" s="40" t="inlineStr">
        <is>
          <t>AI - General/Coding</t>
        </is>
      </c>
      <c r="G21" s="41" t="n">
        <v>-1138.5</v>
      </c>
      <c r="H21" s="42" t="n"/>
      <c r="I21" s="43" t="inlineStr">
        <is>
          <t>CANCEL</t>
        </is>
      </c>
      <c r="J21" s="44" t="inlineStr">
        <is>
          <t>Extreme anomaly vs expected Claude Pro; investigate refund/cancellation</t>
        </is>
      </c>
    </row>
    <row r="22" ht="22" customHeight="1" s="124">
      <c r="B22" s="37" t="n">
        <v>19</v>
      </c>
      <c r="C22" s="38" t="inlineStr">
        <is>
          <t>2026-02</t>
        </is>
      </c>
      <c r="D22" s="39" t="n">
        <v>46043</v>
      </c>
      <c r="E22" s="40" t="inlineStr">
        <is>
          <t>Manus AI</t>
        </is>
      </c>
      <c r="F22" s="40" t="inlineStr">
        <is>
          <t>AI - Agent/Credits</t>
        </is>
      </c>
      <c r="G22" s="41" t="n">
        <v>-556.83</v>
      </c>
      <c r="H22" s="46" t="n">
        <v>100</v>
      </c>
      <c r="I22" s="43" t="inlineStr">
        <is>
          <t>CANCEL</t>
        </is>
      </c>
      <c r="J22" s="44" t="inlineStr">
        <is>
          <t>Large Manus credit purchase</t>
        </is>
      </c>
    </row>
    <row r="23" ht="22" customHeight="1" s="124">
      <c r="B23" s="20" t="n">
        <v>20</v>
      </c>
      <c r="C23" s="21" t="inlineStr">
        <is>
          <t>2026-02</t>
        </is>
      </c>
      <c r="D23" s="22" t="n">
        <v>46049</v>
      </c>
      <c r="E23" s="23" t="inlineStr">
        <is>
          <t>Raycast.com</t>
        </is>
      </c>
      <c r="F23" s="23" t="inlineStr">
        <is>
          <t>Productivity/Automation</t>
        </is>
      </c>
      <c r="G23" s="24" t="n">
        <v>-524.63</v>
      </c>
      <c r="H23" s="25" t="n">
        <v>96</v>
      </c>
      <c r="I23" s="26" t="inlineStr">
        <is>
          <t>REVIEW</t>
        </is>
      </c>
      <c r="J23" s="27" t="inlineStr">
        <is>
          <t>Annual/pro charge; only keep if central launcher</t>
        </is>
      </c>
    </row>
    <row r="24" ht="22" customHeight="1" s="124">
      <c r="B24" s="29" t="n">
        <v>21</v>
      </c>
      <c r="C24" s="30" t="inlineStr">
        <is>
          <t>2026-02</t>
        </is>
      </c>
      <c r="D24" s="31" t="n">
        <v>46052</v>
      </c>
      <c r="E24" s="32" t="inlineStr">
        <is>
          <t>Apple.com/Bill</t>
        </is>
      </c>
      <c r="F24" s="32" t="inlineStr">
        <is>
          <t>AI - Research/Apple-billed</t>
        </is>
      </c>
      <c r="G24" s="33" t="n">
        <v>-99.90000000000001</v>
      </c>
      <c r="H24" s="34" t="n"/>
      <c r="I24" s="35" t="inlineStr">
        <is>
          <t>KEEP</t>
        </is>
      </c>
      <c r="J24" s="36" t="inlineStr">
        <is>
          <t>Likely Perplexity Pro Apple billing</t>
        </is>
      </c>
      <c r="L24" s="109" t="inlineStr">
        <is>
          <t>📈 Spend by Category</t>
        </is>
      </c>
    </row>
    <row r="25" ht="22" customHeight="1" s="124">
      <c r="B25" s="37" t="n">
        <v>22</v>
      </c>
      <c r="C25" s="38" t="inlineStr">
        <is>
          <t>2026-02</t>
        </is>
      </c>
      <c r="D25" s="39" t="n">
        <v>46056</v>
      </c>
      <c r="E25" s="40" t="inlineStr">
        <is>
          <t>Desktop Commander</t>
        </is>
      </c>
      <c r="F25" s="40" t="inlineStr">
        <is>
          <t>AI - Desktop Automation</t>
        </is>
      </c>
      <c r="G25" s="41" t="n">
        <v>-272.21</v>
      </c>
      <c r="H25" s="46" t="n">
        <v>50</v>
      </c>
      <c r="I25" s="43" t="inlineStr">
        <is>
          <t>CANCEL</t>
        </is>
      </c>
      <c r="J25" s="44" t="inlineStr">
        <is>
          <t>Overlap with native scripts/ChatGPT/Cursor; verify if still billing</t>
        </is>
      </c>
      <c r="L25" s="110" t="inlineStr">
        <is>
          <t>Category</t>
        </is>
      </c>
      <c r="M25" s="110" t="inlineStr">
        <is>
          <t>Total BRL</t>
        </is>
      </c>
      <c r="N25" s="110" t="inlineStr">
        <is>
          <t>Count</t>
        </is>
      </c>
    </row>
    <row r="26" ht="22" customHeight="1" s="124">
      <c r="B26" s="29" t="n">
        <v>23</v>
      </c>
      <c r="C26" s="30" t="inlineStr">
        <is>
          <t>2026-03</t>
        </is>
      </c>
      <c r="D26" s="31" t="n">
        <v>46058</v>
      </c>
      <c r="E26" s="32" t="inlineStr">
        <is>
          <t>OpenAI ChatGPT Subscription</t>
        </is>
      </c>
      <c r="F26" s="32" t="inlineStr">
        <is>
          <t>AI - General</t>
        </is>
      </c>
      <c r="G26" s="33" t="n">
        <v>-108.89</v>
      </c>
      <c r="H26" s="45" t="n">
        <v>20</v>
      </c>
      <c r="I26" s="35" t="inlineStr">
        <is>
          <t>KEEP</t>
        </is>
      </c>
      <c r="J26" s="36" t="inlineStr">
        <is>
          <t>Monthly ChatGPT charge</t>
        </is>
      </c>
      <c r="L26" t="inlineStr">
        <is>
          <t>AI - General</t>
        </is>
      </c>
      <c r="M26" s="111">
        <f>SUMIF($F$4:$F$75,L26,$G$4:$G$75)</f>
        <v/>
      </c>
      <c r="N26">
        <f>COUNTIF($F$4:$F$75,L26)</f>
        <v/>
      </c>
    </row>
    <row r="27" ht="22" customHeight="1" s="124">
      <c r="B27" s="29" t="n">
        <v>24</v>
      </c>
      <c r="C27" s="30" t="inlineStr">
        <is>
          <t>2026-03</t>
        </is>
      </c>
      <c r="D27" s="31" t="n">
        <v>46061</v>
      </c>
      <c r="E27" s="32" t="inlineStr">
        <is>
          <t>Apple.com/Bill</t>
        </is>
      </c>
      <c r="F27" s="32" t="inlineStr">
        <is>
          <t>Apple/Cloud</t>
        </is>
      </c>
      <c r="G27" s="33" t="n">
        <v>-21.9</v>
      </c>
      <c r="H27" s="34" t="n"/>
      <c r="I27" s="35" t="inlineStr">
        <is>
          <t>KEEP</t>
        </is>
      </c>
      <c r="J27" s="36" t="inlineStr">
        <is>
          <t>Apple recurring charge</t>
        </is>
      </c>
      <c r="L27" t="inlineStr">
        <is>
          <t>Developer/Unknown</t>
        </is>
      </c>
      <c r="M27" s="111">
        <f>SUMIF($F$4:$F$75,L27,$G$4:$G$75)</f>
        <v/>
      </c>
      <c r="N27">
        <f>COUNTIF($F$4:$F$75,L27)</f>
        <v/>
      </c>
    </row>
    <row r="28" ht="22" customHeight="1" s="124">
      <c r="B28" s="29" t="n">
        <v>25</v>
      </c>
      <c r="C28" s="30" t="inlineStr">
        <is>
          <t>2026-03</t>
        </is>
      </c>
      <c r="D28" s="31" t="n">
        <v>46063</v>
      </c>
      <c r="E28" s="32" t="inlineStr">
        <is>
          <t>Apple.com/Bill</t>
        </is>
      </c>
      <c r="F28" s="32" t="inlineStr">
        <is>
          <t>Apple/Cloud</t>
        </is>
      </c>
      <c r="G28" s="33" t="n">
        <v>-19.9</v>
      </c>
      <c r="H28" s="34" t="n"/>
      <c r="I28" s="35" t="inlineStr">
        <is>
          <t>KEEP</t>
        </is>
      </c>
      <c r="J28" s="36" t="inlineStr">
        <is>
          <t>iCloud+</t>
        </is>
      </c>
      <c r="L28" t="inlineStr">
        <is>
          <t>Apple/Cloud</t>
        </is>
      </c>
      <c r="M28" s="111">
        <f>SUMIF($F$4:$F$75,L28,$G$4:$G$75)</f>
        <v/>
      </c>
      <c r="N28">
        <f>COUNTIF($F$4:$F$75,L28)</f>
        <v/>
      </c>
    </row>
    <row r="29" ht="22" customHeight="1" s="124">
      <c r="B29" s="37" t="n">
        <v>26</v>
      </c>
      <c r="C29" s="38" t="inlineStr">
        <is>
          <t>2026-03</t>
        </is>
      </c>
      <c r="D29" s="39" t="n">
        <v>46067</v>
      </c>
      <c r="E29" s="40" t="inlineStr">
        <is>
          <t>Anthropic</t>
        </is>
      </c>
      <c r="F29" s="40" t="inlineStr">
        <is>
          <t>AI - General/Coding</t>
        </is>
      </c>
      <c r="G29" s="41" t="n">
        <v>-51.75</v>
      </c>
      <c r="H29" s="42" t="n"/>
      <c r="I29" s="43" t="inlineStr">
        <is>
          <t>CANCEL</t>
        </is>
      </c>
      <c r="J29" s="44" t="inlineStr">
        <is>
          <t>Claude/Anthropic extra charge</t>
        </is>
      </c>
      <c r="L29" t="inlineStr">
        <is>
          <t>Developer</t>
        </is>
      </c>
      <c r="M29" s="111">
        <f>SUMIF($F$4:$F$75,L29,$G$4:$G$75)</f>
        <v/>
      </c>
      <c r="N29">
        <f>COUNTIF($F$4:$F$75,L29)</f>
        <v/>
      </c>
    </row>
    <row r="30" ht="22" customHeight="1" s="124">
      <c r="B30" s="20" t="n">
        <v>27</v>
      </c>
      <c r="C30" s="21" t="inlineStr">
        <is>
          <t>2026-03</t>
        </is>
      </c>
      <c r="D30" s="22" t="n">
        <v>46070</v>
      </c>
      <c r="E30" s="23" t="inlineStr">
        <is>
          <t>OpenAI ChatGPT Subscription</t>
        </is>
      </c>
      <c r="F30" s="23" t="inlineStr">
        <is>
          <t>AI - General</t>
        </is>
      </c>
      <c r="G30" s="24" t="n">
        <v>-108.27</v>
      </c>
      <c r="H30" s="25" t="n">
        <v>20</v>
      </c>
      <c r="I30" s="26" t="inlineStr">
        <is>
          <t>REVIEW</t>
        </is>
      </c>
      <c r="J30" s="27" t="inlineStr">
        <is>
          <t>Second OpenAI subscription same cycle</t>
        </is>
      </c>
      <c r="L30" t="inlineStr">
        <is>
          <t>AI - Unknown</t>
        </is>
      </c>
      <c r="M30" s="111">
        <f>SUMIF($F$4:$F$75,L30,$G$4:$G$75)</f>
        <v/>
      </c>
      <c r="N30">
        <f>COUNTIF($F$4:$F$75,L30)</f>
        <v/>
      </c>
    </row>
    <row r="31" ht="22" customHeight="1" s="124">
      <c r="B31" s="37" t="n">
        <v>28</v>
      </c>
      <c r="C31" s="38" t="inlineStr">
        <is>
          <t>2026-03</t>
        </is>
      </c>
      <c r="D31" s="39" t="n">
        <v>46074</v>
      </c>
      <c r="E31" s="40" t="inlineStr">
        <is>
          <t>Manus AI</t>
        </is>
      </c>
      <c r="F31" s="40" t="inlineStr">
        <is>
          <t>AI - Agent/Credits</t>
        </is>
      </c>
      <c r="G31" s="41" t="n">
        <v>-538.2</v>
      </c>
      <c r="H31" s="46" t="n">
        <v>100</v>
      </c>
      <c r="I31" s="43" t="inlineStr">
        <is>
          <t>CANCEL</t>
        </is>
      </c>
      <c r="J31" s="44" t="inlineStr">
        <is>
          <t>Large recurring credits</t>
        </is>
      </c>
      <c r="L31" t="inlineStr">
        <is>
          <t>AI - Agent/Credits</t>
        </is>
      </c>
      <c r="M31" s="111">
        <f>SUMIF($F$4:$F$75,L31,$G$4:$G$75)</f>
        <v/>
      </c>
      <c r="N31">
        <f>COUNTIF($F$4:$F$75,L31)</f>
        <v/>
      </c>
    </row>
    <row r="32" ht="22" customHeight="1" s="124">
      <c r="B32" s="29" t="n">
        <v>29</v>
      </c>
      <c r="C32" s="30" t="inlineStr">
        <is>
          <t>2026-03</t>
        </is>
      </c>
      <c r="D32" s="31" t="n">
        <v>46081</v>
      </c>
      <c r="E32" s="32" t="inlineStr">
        <is>
          <t>Apple.com/Bill</t>
        </is>
      </c>
      <c r="F32" s="32" t="inlineStr">
        <is>
          <t>AI - Research/Apple-billed</t>
        </is>
      </c>
      <c r="G32" s="33" t="n">
        <v>-99.90000000000001</v>
      </c>
      <c r="H32" s="34" t="n"/>
      <c r="I32" s="35" t="inlineStr">
        <is>
          <t>KEEP</t>
        </is>
      </c>
      <c r="J32" s="36" t="inlineStr">
        <is>
          <t>Likely Perplexity/Grok Apple billing</t>
        </is>
      </c>
      <c r="L32" t="inlineStr">
        <is>
          <t>AI - Research/Apple-billed</t>
        </is>
      </c>
      <c r="M32" s="111">
        <f>SUMIF($F$4:$F$75,L32,$G$4:$G$75)</f>
        <v/>
      </c>
      <c r="N32">
        <f>COUNTIF($F$4:$F$75,L32)</f>
        <v/>
      </c>
    </row>
    <row r="33" ht="22" customHeight="1" s="124">
      <c r="B33" s="29" t="n">
        <v>30</v>
      </c>
      <c r="C33" s="30" t="inlineStr">
        <is>
          <t>2026-04</t>
        </is>
      </c>
      <c r="D33" s="31" t="n">
        <v>46086</v>
      </c>
      <c r="E33" s="32" t="inlineStr">
        <is>
          <t>OpenAI ChatGPT Subscription</t>
        </is>
      </c>
      <c r="F33" s="32" t="inlineStr">
        <is>
          <t>AI - General</t>
        </is>
      </c>
      <c r="G33" s="33" t="n">
        <v>-108.47</v>
      </c>
      <c r="H33" s="45" t="n">
        <v>20</v>
      </c>
      <c r="I33" s="35" t="inlineStr">
        <is>
          <t>KEEP</t>
        </is>
      </c>
      <c r="J33" s="36" t="inlineStr">
        <is>
          <t>Monthly ChatGPT charge</t>
        </is>
      </c>
      <c r="L33" t="inlineStr">
        <is>
          <t>AI/App Unknown</t>
        </is>
      </c>
      <c r="M33" s="111">
        <f>SUMIF($F$4:$F$75,L33,$G$4:$G$75)</f>
        <v/>
      </c>
      <c r="N33">
        <f>COUNTIF($F$4:$F$75,L33)</f>
        <v/>
      </c>
    </row>
    <row r="34" ht="22" customHeight="1" s="124">
      <c r="B34" s="29" t="n">
        <v>31</v>
      </c>
      <c r="C34" s="30" t="inlineStr">
        <is>
          <t>2026-04</t>
        </is>
      </c>
      <c r="D34" s="31" t="n">
        <v>46089</v>
      </c>
      <c r="E34" s="32" t="inlineStr">
        <is>
          <t>Apple.com/Bill</t>
        </is>
      </c>
      <c r="F34" s="32" t="inlineStr">
        <is>
          <t>Apple/Cloud</t>
        </is>
      </c>
      <c r="G34" s="33" t="n">
        <v>-21.9</v>
      </c>
      <c r="H34" s="34" t="n"/>
      <c r="I34" s="35" t="inlineStr">
        <is>
          <t>KEEP</t>
        </is>
      </c>
      <c r="J34" s="36" t="inlineStr">
        <is>
          <t>Apple recurring charge</t>
        </is>
      </c>
      <c r="L34" t="inlineStr">
        <is>
          <t>AI - General/Coding</t>
        </is>
      </c>
      <c r="M34" s="111">
        <f>SUMIF($F$4:$F$75,L34,$G$4:$G$75)</f>
        <v/>
      </c>
      <c r="N34">
        <f>COUNTIF($F$4:$F$75,L34)</f>
        <v/>
      </c>
    </row>
    <row r="35" ht="22" customHeight="1" s="124">
      <c r="B35" s="20" t="n">
        <v>32</v>
      </c>
      <c r="C35" s="21" t="inlineStr">
        <is>
          <t>2026-04</t>
        </is>
      </c>
      <c r="D35" s="22" t="n">
        <v>46089</v>
      </c>
      <c r="E35" s="23" t="inlineStr">
        <is>
          <t>GitHub, Inc.</t>
        </is>
      </c>
      <c r="F35" s="23" t="inlineStr">
        <is>
          <t>Developer</t>
        </is>
      </c>
      <c r="G35" s="24" t="n">
        <v>-54.76</v>
      </c>
      <c r="H35" s="25" t="n">
        <v>10</v>
      </c>
      <c r="I35" s="26" t="inlineStr">
        <is>
          <t>REVIEW</t>
        </is>
      </c>
      <c r="J35" s="27" t="inlineStr">
        <is>
          <t>Recurring GitHub charge</t>
        </is>
      </c>
      <c r="L35" t="inlineStr">
        <is>
          <t>Productivity/Automation</t>
        </is>
      </c>
      <c r="M35" s="111">
        <f>SUMIF($F$4:$F$75,L35,$G$4:$G$75)</f>
        <v/>
      </c>
      <c r="N35">
        <f>COUNTIF($F$4:$F$75,L35)</f>
        <v/>
      </c>
    </row>
    <row r="36" ht="22" customHeight="1" s="124">
      <c r="B36" s="29" t="n">
        <v>33</v>
      </c>
      <c r="C36" s="30" t="inlineStr">
        <is>
          <t>2026-04</t>
        </is>
      </c>
      <c r="D36" s="31" t="n">
        <v>46091</v>
      </c>
      <c r="E36" s="32" t="inlineStr">
        <is>
          <t>Apple.com/Bill</t>
        </is>
      </c>
      <c r="F36" s="32" t="inlineStr">
        <is>
          <t>Apple/Cloud</t>
        </is>
      </c>
      <c r="G36" s="33" t="n">
        <v>-19.9</v>
      </c>
      <c r="H36" s="34" t="n"/>
      <c r="I36" s="35" t="inlineStr">
        <is>
          <t>KEEP</t>
        </is>
      </c>
      <c r="J36" s="36" t="inlineStr">
        <is>
          <t>iCloud+</t>
        </is>
      </c>
      <c r="L36" t="inlineStr">
        <is>
          <t>AI - Desktop Automation</t>
        </is>
      </c>
      <c r="M36" s="111">
        <f>SUMIF($F$4:$F$75,L36,$G$4:$G$75)</f>
        <v/>
      </c>
      <c r="N36">
        <f>COUNTIF($F$4:$F$75,L36)</f>
        <v/>
      </c>
    </row>
    <row r="37" ht="22" customHeight="1" s="124">
      <c r="B37" s="47" t="n">
        <v>34</v>
      </c>
      <c r="C37" s="48" t="inlineStr">
        <is>
          <t>2026-04</t>
        </is>
      </c>
      <c r="D37" s="49" t="n">
        <v>46091</v>
      </c>
      <c r="E37" s="50" t="inlineStr">
        <is>
          <t>OpenRouter, Inc.</t>
        </is>
      </c>
      <c r="F37" s="50" t="inlineStr">
        <is>
          <t>AI API/Router</t>
        </is>
      </c>
      <c r="G37" s="51" t="n">
        <v>-113.78</v>
      </c>
      <c r="H37" s="52" t="n">
        <v>21.1</v>
      </c>
      <c r="I37" s="53" t="inlineStr">
        <is>
          <t>PAUSE</t>
        </is>
      </c>
      <c r="J37" s="54" t="inlineStr">
        <is>
          <t>API usage; pause unless active project uses it</t>
        </is>
      </c>
      <c r="L37" t="inlineStr">
        <is>
          <t>AI API/Router</t>
        </is>
      </c>
      <c r="M37" s="111">
        <f>SUMIF($F$4:$F$75,L37,$G$4:$G$75)</f>
        <v/>
      </c>
      <c r="N37">
        <f>COUNTIF($F$4:$F$75,L37)</f>
        <v/>
      </c>
    </row>
    <row r="38" ht="22" customHeight="1" s="124">
      <c r="B38" s="20" t="n">
        <v>35</v>
      </c>
      <c r="C38" s="21" t="inlineStr">
        <is>
          <t>2026-04</t>
        </is>
      </c>
      <c r="D38" s="22" t="n">
        <v>46098</v>
      </c>
      <c r="E38" s="23" t="inlineStr">
        <is>
          <t>OpenAI ChatGPT Subscription</t>
        </is>
      </c>
      <c r="F38" s="23" t="inlineStr">
        <is>
          <t>AI - General</t>
        </is>
      </c>
      <c r="G38" s="24" t="n">
        <v>-108.89</v>
      </c>
      <c r="H38" s="25" t="n">
        <v>20</v>
      </c>
      <c r="I38" s="26" t="inlineStr">
        <is>
          <t>REVIEW</t>
        </is>
      </c>
      <c r="J38" s="27" t="inlineStr">
        <is>
          <t>Second OpenAI subscription same cycle</t>
        </is>
      </c>
      <c r="L38" t="inlineStr">
        <is>
          <t>AI/Productivity</t>
        </is>
      </c>
      <c r="M38" s="111">
        <f>SUMIF($F$4:$F$75,L38,$G$4:$G$75)</f>
        <v/>
      </c>
      <c r="N38">
        <f>COUNTIF($F$4:$F$75,L38)</f>
        <v/>
      </c>
    </row>
    <row r="39" ht="22" customHeight="1" s="124">
      <c r="B39" s="20" t="n">
        <v>36</v>
      </c>
      <c r="C39" s="21" t="inlineStr">
        <is>
          <t>2026-04</t>
        </is>
      </c>
      <c r="D39" s="22" t="n">
        <v>46101</v>
      </c>
      <c r="E39" s="23" t="inlineStr">
        <is>
          <t>Google Brasil Pagamen</t>
        </is>
      </c>
      <c r="F39" s="23" t="inlineStr">
        <is>
          <t>AI/Productivity</t>
        </is>
      </c>
      <c r="G39" s="24" t="n">
        <v>-96.98999999999999</v>
      </c>
      <c r="H39" s="28" t="n"/>
      <c r="I39" s="26" t="inlineStr">
        <is>
          <t>REVIEW</t>
        </is>
      </c>
      <c r="J39" s="27" t="inlineStr">
        <is>
          <t>Google Pro subscription from original list</t>
        </is>
      </c>
      <c r="L39" t="inlineStr">
        <is>
          <t>AI - Coding</t>
        </is>
      </c>
      <c r="M39" s="111">
        <f>SUMIF($F$4:$F$75,L39,$G$4:$G$75)</f>
        <v/>
      </c>
      <c r="N39">
        <f>COUNTIF($F$4:$F$75,L39)</f>
        <v/>
      </c>
    </row>
    <row r="40" ht="22" customHeight="1" s="124">
      <c r="B40" s="37" t="n">
        <v>37</v>
      </c>
      <c r="C40" s="38" t="inlineStr">
        <is>
          <t>2026-04</t>
        </is>
      </c>
      <c r="D40" s="39" t="n">
        <v>46102</v>
      </c>
      <c r="E40" s="40" t="inlineStr">
        <is>
          <t>Manus AI</t>
        </is>
      </c>
      <c r="F40" s="40" t="inlineStr">
        <is>
          <t>AI - Agent/Credits</t>
        </is>
      </c>
      <c r="G40" s="41" t="n">
        <v>-546.48</v>
      </c>
      <c r="H40" s="46" t="n">
        <v>100</v>
      </c>
      <c r="I40" s="43" t="inlineStr">
        <is>
          <t>CANCEL</t>
        </is>
      </c>
      <c r="J40" s="44" t="inlineStr">
        <is>
          <t>Large recurring credits</t>
        </is>
      </c>
      <c r="L40" t="inlineStr">
        <is>
          <t>Productivity</t>
        </is>
      </c>
      <c r="M40" s="111">
        <f>SUMIF($F$4:$F$75,L40,$G$4:$G$75)</f>
        <v/>
      </c>
      <c r="N40">
        <f>COUNTIF($F$4:$F$75,L40)</f>
        <v/>
      </c>
    </row>
    <row r="41" ht="22" customHeight="1" s="124">
      <c r="B41" s="37" t="n">
        <v>38</v>
      </c>
      <c r="C41" s="38" t="inlineStr">
        <is>
          <t>2026-04</t>
        </is>
      </c>
      <c r="D41" s="39" t="n">
        <v>46111</v>
      </c>
      <c r="E41" s="40" t="inlineStr">
        <is>
          <t>Grok XAI</t>
        </is>
      </c>
      <c r="F41" s="40" t="inlineStr">
        <is>
          <t>AI - General</t>
        </is>
      </c>
      <c r="G41" s="41" t="n">
        <v>-81.36</v>
      </c>
      <c r="H41" s="46" t="n">
        <v>15</v>
      </c>
      <c r="I41" s="43" t="inlineStr">
        <is>
          <t>CANCEL</t>
        </is>
      </c>
      <c r="J41" s="44" t="inlineStr">
        <is>
          <t>Overlaps ChatGPT/Claude/Perplexity</t>
        </is>
      </c>
      <c r="L41" t="inlineStr">
        <is>
          <t>Infrastructure</t>
        </is>
      </c>
      <c r="M41" s="111">
        <f>SUMIF($F$4:$F$75,L41,$G$4:$G$75)</f>
        <v/>
      </c>
      <c r="N41">
        <f>COUNTIF($F$4:$F$75,L41)</f>
        <v/>
      </c>
    </row>
    <row r="42" ht="22" customHeight="1" s="124">
      <c r="B42" s="29" t="n">
        <v>39</v>
      </c>
      <c r="C42" s="30" t="inlineStr">
        <is>
          <t>2026-04</t>
        </is>
      </c>
      <c r="D42" s="31" t="n">
        <v>46111</v>
      </c>
      <c r="E42" s="32" t="inlineStr">
        <is>
          <t>Apple.com/Bill</t>
        </is>
      </c>
      <c r="F42" s="32" t="inlineStr">
        <is>
          <t>AI - Research/Apple-billed</t>
        </is>
      </c>
      <c r="G42" s="33" t="n">
        <v>-99.90000000000001</v>
      </c>
      <c r="H42" s="34" t="n"/>
      <c r="I42" s="35" t="inlineStr">
        <is>
          <t>KEEP</t>
        </is>
      </c>
      <c r="J42" s="36" t="inlineStr">
        <is>
          <t>Likely Perplexity/Grok Apple billing</t>
        </is>
      </c>
      <c r="L42" t="inlineStr">
        <is>
          <t>Apple/Media</t>
        </is>
      </c>
      <c r="M42" s="111">
        <f>SUMIF($F$4:$F$75,L42,$G$4:$G$75)</f>
        <v/>
      </c>
      <c r="N42">
        <f>COUNTIF($F$4:$F$75,L42)</f>
        <v/>
      </c>
    </row>
    <row r="43" ht="22" customHeight="1" s="124">
      <c r="B43" s="29" t="n">
        <v>40</v>
      </c>
      <c r="C43" s="30" t="inlineStr">
        <is>
          <t>2026-04</t>
        </is>
      </c>
      <c r="D43" s="31" t="n">
        <v>46113</v>
      </c>
      <c r="E43" s="32" t="inlineStr">
        <is>
          <t>Cursor AI Powered IDE</t>
        </is>
      </c>
      <c r="F43" s="32" t="inlineStr">
        <is>
          <t>AI - Coding</t>
        </is>
      </c>
      <c r="G43" s="33" t="n">
        <v>-111.81</v>
      </c>
      <c r="H43" s="34" t="n"/>
      <c r="I43" s="35" t="inlineStr">
        <is>
          <t>KEEP</t>
        </is>
      </c>
      <c r="J43" s="36" t="inlineStr">
        <is>
          <t>Core coding assistant</t>
        </is>
      </c>
      <c r="L43" t="inlineStr">
        <is>
          <t>AI - Research</t>
        </is>
      </c>
      <c r="M43" s="111">
        <f>SUMIF($F$4:$F$75,L43,$G$4:$G$75)</f>
        <v/>
      </c>
      <c r="N43">
        <f>COUNTIF($F$4:$F$75,L43)</f>
        <v/>
      </c>
    </row>
    <row r="44" ht="22" customHeight="1" s="124">
      <c r="B44" s="29" t="n">
        <v>41</v>
      </c>
      <c r="C44" s="30" t="inlineStr">
        <is>
          <t>2026-05</t>
        </is>
      </c>
      <c r="D44" s="31" t="n">
        <v>46117</v>
      </c>
      <c r="E44" s="32" t="inlineStr">
        <is>
          <t>OpenAI ChatGPT Subscription</t>
        </is>
      </c>
      <c r="F44" s="32" t="inlineStr">
        <is>
          <t>AI - General</t>
        </is>
      </c>
      <c r="G44" s="33" t="n">
        <v>-107.02</v>
      </c>
      <c r="H44" s="45" t="n">
        <v>20</v>
      </c>
      <c r="I44" s="35" t="inlineStr">
        <is>
          <t>KEEP</t>
        </is>
      </c>
      <c r="J44" s="36" t="inlineStr">
        <is>
          <t>Monthly ChatGPT charge</t>
        </is>
      </c>
      <c r="L44" t="inlineStr">
        <is>
          <t>AI API/Credits</t>
        </is>
      </c>
      <c r="M44" s="111">
        <f>SUMIF($F$4:$F$75,L44,$G$4:$G$75)</f>
        <v/>
      </c>
      <c r="N44">
        <f>COUNTIF($F$4:$F$75,L44)</f>
        <v/>
      </c>
    </row>
    <row r="45" ht="22" customHeight="1" s="124">
      <c r="B45" s="29" t="n">
        <v>42</v>
      </c>
      <c r="C45" s="30" t="inlineStr">
        <is>
          <t>2026-05</t>
        </is>
      </c>
      <c r="D45" s="31" t="n">
        <v>46120</v>
      </c>
      <c r="E45" s="32" t="inlineStr">
        <is>
          <t>Apple.com/Bill</t>
        </is>
      </c>
      <c r="F45" s="32" t="inlineStr">
        <is>
          <t>Apple/Cloud</t>
        </is>
      </c>
      <c r="G45" s="33" t="n">
        <v>-21.9</v>
      </c>
      <c r="H45" s="34" t="n"/>
      <c r="I45" s="35" t="inlineStr">
        <is>
          <t>KEEP</t>
        </is>
      </c>
      <c r="J45" s="36" t="inlineStr">
        <is>
          <t>Apple recurring charge</t>
        </is>
      </c>
      <c r="L45" t="inlineStr">
        <is>
          <t>Media/Google</t>
        </is>
      </c>
      <c r="M45" s="111">
        <f>SUMIF($F$4:$F$75,L45,$G$4:$G$75)</f>
        <v/>
      </c>
      <c r="N45">
        <f>COUNTIF($F$4:$F$75,L45)</f>
        <v/>
      </c>
    </row>
    <row r="46" ht="22" customHeight="1" s="124">
      <c r="B46" s="20" t="n">
        <v>43</v>
      </c>
      <c r="C46" s="21" t="inlineStr">
        <is>
          <t>2026-05</t>
        </is>
      </c>
      <c r="D46" s="22" t="n">
        <v>46120</v>
      </c>
      <c r="E46" s="23" t="inlineStr">
        <is>
          <t>GitHub, Inc.</t>
        </is>
      </c>
      <c r="F46" s="23" t="inlineStr">
        <is>
          <t>Developer</t>
        </is>
      </c>
      <c r="G46" s="24" t="n">
        <v>-53.41</v>
      </c>
      <c r="H46" s="25" t="n">
        <v>10</v>
      </c>
      <c r="I46" s="26" t="inlineStr">
        <is>
          <t>REVIEW</t>
        </is>
      </c>
      <c r="J46" s="27" t="inlineStr">
        <is>
          <t>Recurring GitHub charge</t>
        </is>
      </c>
    </row>
    <row r="47" ht="22" customHeight="1" s="124">
      <c r="B47" s="29" t="n">
        <v>44</v>
      </c>
      <c r="C47" s="30" t="inlineStr">
        <is>
          <t>2026-05</t>
        </is>
      </c>
      <c r="D47" s="31" t="n">
        <v>46122</v>
      </c>
      <c r="E47" s="32" t="inlineStr">
        <is>
          <t>Apple.com/Bill</t>
        </is>
      </c>
      <c r="F47" s="32" t="inlineStr">
        <is>
          <t>Apple/Cloud</t>
        </is>
      </c>
      <c r="G47" s="33" t="n">
        <v>-19.9</v>
      </c>
      <c r="H47" s="34" t="n"/>
      <c r="I47" s="35" t="inlineStr">
        <is>
          <t>KEEP</t>
        </is>
      </c>
      <c r="J47" s="36" t="inlineStr">
        <is>
          <t>iCloud+</t>
        </is>
      </c>
    </row>
    <row r="48" ht="22" customHeight="1" s="124">
      <c r="B48" s="20" t="n">
        <v>45</v>
      </c>
      <c r="C48" s="21" t="inlineStr">
        <is>
          <t>2026-05</t>
        </is>
      </c>
      <c r="D48" s="22" t="n">
        <v>46129</v>
      </c>
      <c r="E48" s="23" t="inlineStr">
        <is>
          <t>OpenAI ChatGPT Subscription</t>
        </is>
      </c>
      <c r="F48" s="23" t="inlineStr">
        <is>
          <t>AI - General</t>
        </is>
      </c>
      <c r="G48" s="24" t="n">
        <v>-103.5</v>
      </c>
      <c r="H48" s="25" t="n">
        <v>20</v>
      </c>
      <c r="I48" s="26" t="inlineStr">
        <is>
          <t>REVIEW</t>
        </is>
      </c>
      <c r="J48" s="27" t="inlineStr">
        <is>
          <t>Second OpenAI subscription same cycle</t>
        </is>
      </c>
    </row>
    <row r="49" ht="22" customHeight="1" s="124">
      <c r="B49" s="20" t="n">
        <v>46</v>
      </c>
      <c r="C49" s="21" t="inlineStr">
        <is>
          <t>2026-05</t>
        </is>
      </c>
      <c r="D49" s="22" t="n">
        <v>46132</v>
      </c>
      <c r="E49" s="23" t="inlineStr">
        <is>
          <t>Microsoft Store</t>
        </is>
      </c>
      <c r="F49" s="23" t="inlineStr">
        <is>
          <t>Productivity</t>
        </is>
      </c>
      <c r="G49" s="24" t="n">
        <v>-509</v>
      </c>
      <c r="H49" s="28" t="n"/>
      <c r="I49" s="26" t="inlineStr">
        <is>
          <t>REVIEW</t>
        </is>
      </c>
      <c r="J49" s="27" t="inlineStr">
        <is>
          <t>Annual Microsoft 365 charge</t>
        </is>
      </c>
    </row>
    <row r="50" ht="22" customHeight="1" s="124">
      <c r="B50" s="37" t="n">
        <v>47</v>
      </c>
      <c r="C50" s="38" t="inlineStr">
        <is>
          <t>2026-05</t>
        </is>
      </c>
      <c r="D50" s="39" t="n">
        <v>46133</v>
      </c>
      <c r="E50" s="40" t="inlineStr">
        <is>
          <t>Manus AI</t>
        </is>
      </c>
      <c r="F50" s="40" t="inlineStr">
        <is>
          <t>AI - Agent/Credits</t>
        </is>
      </c>
      <c r="G50" s="41" t="n">
        <v>-515.4299999999999</v>
      </c>
      <c r="H50" s="46" t="n">
        <v>100</v>
      </c>
      <c r="I50" s="43" t="inlineStr">
        <is>
          <t>CANCEL</t>
        </is>
      </c>
      <c r="J50" s="44" t="inlineStr">
        <is>
          <t>Large recurring credits</t>
        </is>
      </c>
    </row>
    <row r="51" ht="22" customHeight="1" s="124">
      <c r="B51" s="20" t="n">
        <v>48</v>
      </c>
      <c r="C51" s="21" t="inlineStr">
        <is>
          <t>2026-05</t>
        </is>
      </c>
      <c r="D51" s="22" t="n">
        <v>46135</v>
      </c>
      <c r="E51" s="23" t="inlineStr">
        <is>
          <t>Cloudflare</t>
        </is>
      </c>
      <c r="F51" s="23" t="inlineStr">
        <is>
          <t>Infrastructure</t>
        </is>
      </c>
      <c r="G51" s="24" t="n">
        <v>-107.61</v>
      </c>
      <c r="H51" s="25" t="n">
        <v>20.92</v>
      </c>
      <c r="I51" s="26" t="inlineStr">
        <is>
          <t>REVIEW</t>
        </is>
      </c>
      <c r="J51" s="27" t="inlineStr">
        <is>
          <t>Keep only if active production domain/tunnel</t>
        </is>
      </c>
    </row>
    <row r="52" ht="22" customHeight="1" s="124">
      <c r="B52" s="37" t="n">
        <v>49</v>
      </c>
      <c r="C52" s="38" t="inlineStr">
        <is>
          <t>2026-05</t>
        </is>
      </c>
      <c r="D52" s="39" t="n">
        <v>46136</v>
      </c>
      <c r="E52" s="40" t="inlineStr">
        <is>
          <t>Apple.com/Bill</t>
        </is>
      </c>
      <c r="F52" s="40" t="inlineStr">
        <is>
          <t>Apple/Media</t>
        </is>
      </c>
      <c r="G52" s="41" t="n">
        <v>-31.9</v>
      </c>
      <c r="H52" s="42" t="n"/>
      <c r="I52" s="43" t="inlineStr">
        <is>
          <t>CANCEL</t>
        </is>
      </c>
      <c r="J52" s="44" t="inlineStr">
        <is>
          <t>Likely TuneIn or app; not core stack</t>
        </is>
      </c>
    </row>
    <row r="53" ht="22" customHeight="1" s="124">
      <c r="B53" s="29" t="n">
        <v>50</v>
      </c>
      <c r="C53" s="30" t="inlineStr">
        <is>
          <t>2026-05</t>
        </is>
      </c>
      <c r="D53" s="31" t="n">
        <v>46139</v>
      </c>
      <c r="E53" s="32" t="inlineStr">
        <is>
          <t>Perplexity.ai</t>
        </is>
      </c>
      <c r="F53" s="32" t="inlineStr">
        <is>
          <t>AI - Research</t>
        </is>
      </c>
      <c r="G53" s="33" t="n">
        <v>-103.71</v>
      </c>
      <c r="H53" s="45" t="n">
        <v>20</v>
      </c>
      <c r="I53" s="35" t="inlineStr">
        <is>
          <t>KEEP</t>
        </is>
      </c>
      <c r="J53" s="36" t="inlineStr">
        <is>
          <t>Core research assistant</t>
        </is>
      </c>
    </row>
    <row r="54" ht="22" customHeight="1" s="124">
      <c r="B54" s="37" t="n">
        <v>51</v>
      </c>
      <c r="C54" s="38" t="inlineStr">
        <is>
          <t>2026-05</t>
        </is>
      </c>
      <c r="D54" s="39" t="n">
        <v>46142</v>
      </c>
      <c r="E54" s="40" t="inlineStr">
        <is>
          <t>Perplexity.ai</t>
        </is>
      </c>
      <c r="F54" s="40" t="inlineStr">
        <is>
          <t>AI - Research</t>
        </is>
      </c>
      <c r="G54" s="41" t="n">
        <v>-155.25</v>
      </c>
      <c r="H54" s="46" t="n">
        <v>30</v>
      </c>
      <c r="I54" s="43" t="inlineStr">
        <is>
          <t>CANCEL</t>
        </is>
      </c>
      <c r="J54" s="44" t="inlineStr">
        <is>
          <t>Extra Perplexity charge/upgrade; duplicate</t>
        </is>
      </c>
    </row>
    <row r="55" ht="22" customHeight="1" s="124">
      <c r="B55" s="29" t="n">
        <v>52</v>
      </c>
      <c r="C55" s="30" t="inlineStr">
        <is>
          <t>2026-05</t>
        </is>
      </c>
      <c r="D55" s="31" t="n">
        <v>46142</v>
      </c>
      <c r="E55" s="32" t="inlineStr">
        <is>
          <t>Apple.com/Bill</t>
        </is>
      </c>
      <c r="F55" s="32" t="inlineStr">
        <is>
          <t>AI - Research/Apple-billed</t>
        </is>
      </c>
      <c r="G55" s="33" t="n">
        <v>-99.90000000000001</v>
      </c>
      <c r="H55" s="34" t="n"/>
      <c r="I55" s="35" t="inlineStr">
        <is>
          <t>KEEP</t>
        </is>
      </c>
      <c r="J55" s="36" t="inlineStr">
        <is>
          <t>Likely Perplexity Pro Apple billing</t>
        </is>
      </c>
    </row>
    <row r="56" ht="22" customHeight="1" s="124">
      <c r="B56" s="29" t="n">
        <v>53</v>
      </c>
      <c r="C56" s="30" t="inlineStr">
        <is>
          <t>2026-05</t>
        </is>
      </c>
      <c r="D56" s="31" t="n">
        <v>46143</v>
      </c>
      <c r="E56" s="32" t="inlineStr">
        <is>
          <t>Cursor AI Powered IDE</t>
        </is>
      </c>
      <c r="F56" s="32" t="inlineStr">
        <is>
          <t>AI - Coding</t>
        </is>
      </c>
      <c r="G56" s="33" t="n">
        <v>-111.81</v>
      </c>
      <c r="H56" s="34" t="n"/>
      <c r="I56" s="35" t="inlineStr">
        <is>
          <t>KEEP</t>
        </is>
      </c>
      <c r="J56" s="36" t="inlineStr">
        <is>
          <t>Core coding assistant</t>
        </is>
      </c>
    </row>
    <row r="57" ht="22" customHeight="1" s="124">
      <c r="B57" s="47" t="n">
        <v>54</v>
      </c>
      <c r="C57" s="48" t="inlineStr">
        <is>
          <t>2026-05</t>
        </is>
      </c>
      <c r="D57" s="49" t="n">
        <v>46143</v>
      </c>
      <c r="E57" s="50" t="inlineStr">
        <is>
          <t>OpenAI ChatGPT Credit</t>
        </is>
      </c>
      <c r="F57" s="50" t="inlineStr">
        <is>
          <t>AI API/Credits</t>
        </is>
      </c>
      <c r="G57" s="51" t="n">
        <v>-206.59</v>
      </c>
      <c r="H57" s="52" t="n">
        <v>40</v>
      </c>
      <c r="I57" s="53" t="inlineStr">
        <is>
          <t>PAUSE</t>
        </is>
      </c>
      <c r="J57" s="54" t="inlineStr">
        <is>
          <t>API credits separate from Plus; pause unless project requires</t>
        </is>
      </c>
    </row>
    <row r="58" ht="22" customHeight="1" s="124">
      <c r="B58" s="29" t="n">
        <v>55</v>
      </c>
      <c r="C58" s="30" t="inlineStr">
        <is>
          <t>2026-06</t>
        </is>
      </c>
      <c r="D58" s="31" t="n">
        <v>46148</v>
      </c>
      <c r="E58" s="32" t="inlineStr">
        <is>
          <t>OpenAI ChatGPT Subscription</t>
        </is>
      </c>
      <c r="F58" s="32" t="inlineStr">
        <is>
          <t>AI - General</t>
        </is>
      </c>
      <c r="G58" s="33" t="n">
        <v>-101.85</v>
      </c>
      <c r="H58" s="45" t="n">
        <v>20</v>
      </c>
      <c r="I58" s="35" t="inlineStr">
        <is>
          <t>KEEP</t>
        </is>
      </c>
      <c r="J58" s="36" t="inlineStr">
        <is>
          <t>Monthly ChatGPT charge</t>
        </is>
      </c>
    </row>
    <row r="59" ht="22" customHeight="1" s="124">
      <c r="B59" s="20" t="n">
        <v>56</v>
      </c>
      <c r="C59" s="21" t="inlineStr">
        <is>
          <t>2026-06</t>
        </is>
      </c>
      <c r="D59" s="22" t="n">
        <v>46150</v>
      </c>
      <c r="E59" s="23" t="inlineStr">
        <is>
          <t>GitHub, Inc.</t>
        </is>
      </c>
      <c r="F59" s="23" t="inlineStr">
        <is>
          <t>Developer</t>
        </is>
      </c>
      <c r="G59" s="24" t="n">
        <v>-50.93</v>
      </c>
      <c r="H59" s="25" t="n">
        <v>10</v>
      </c>
      <c r="I59" s="26" t="inlineStr">
        <is>
          <t>REVIEW</t>
        </is>
      </c>
      <c r="J59" s="27" t="inlineStr">
        <is>
          <t>Recurring GitHub charge</t>
        </is>
      </c>
    </row>
    <row r="60" ht="22" customHeight="1" s="124">
      <c r="B60" s="29" t="n">
        <v>57</v>
      </c>
      <c r="C60" s="30" t="inlineStr">
        <is>
          <t>2026-06</t>
        </is>
      </c>
      <c r="D60" s="31" t="n">
        <v>46152</v>
      </c>
      <c r="E60" s="32" t="inlineStr">
        <is>
          <t>Apple.com/Bill</t>
        </is>
      </c>
      <c r="F60" s="32" t="inlineStr">
        <is>
          <t>Apple/Cloud</t>
        </is>
      </c>
      <c r="G60" s="33" t="n">
        <v>-19.9</v>
      </c>
      <c r="H60" s="34" t="n"/>
      <c r="I60" s="35" t="inlineStr">
        <is>
          <t>KEEP</t>
        </is>
      </c>
      <c r="J60" s="36" t="inlineStr">
        <is>
          <t>iCloud+</t>
        </is>
      </c>
    </row>
    <row r="61" ht="22" customHeight="1" s="124">
      <c r="B61" s="20" t="n">
        <v>58</v>
      </c>
      <c r="C61" s="21" t="inlineStr">
        <is>
          <t>2026-06</t>
        </is>
      </c>
      <c r="D61" s="22" t="n">
        <v>46158</v>
      </c>
      <c r="E61" s="23" t="inlineStr">
        <is>
          <t>Perplexity.ai</t>
        </is>
      </c>
      <c r="F61" s="23" t="inlineStr">
        <is>
          <t>AI - Research</t>
        </is>
      </c>
      <c r="G61" s="24" t="n">
        <v>-78.72</v>
      </c>
      <c r="H61" s="25" t="n">
        <v>15</v>
      </c>
      <c r="I61" s="26" t="inlineStr">
        <is>
          <t>REVIEW</t>
        </is>
      </c>
      <c r="J61" s="27" t="inlineStr">
        <is>
          <t>Perplexity extra or plan change</t>
        </is>
      </c>
    </row>
    <row r="62" ht="22" customHeight="1" s="124">
      <c r="B62" s="20" t="n">
        <v>59</v>
      </c>
      <c r="C62" s="21" t="inlineStr">
        <is>
          <t>2026-06</t>
        </is>
      </c>
      <c r="D62" s="22" t="n">
        <v>46159</v>
      </c>
      <c r="E62" s="23" t="inlineStr">
        <is>
          <t>OpenAI ChatGPT Subscription</t>
        </is>
      </c>
      <c r="F62" s="23" t="inlineStr">
        <is>
          <t>AI - General</t>
        </is>
      </c>
      <c r="G62" s="24" t="n">
        <v>-104.95</v>
      </c>
      <c r="H62" s="25" t="n">
        <v>20</v>
      </c>
      <c r="I62" s="26" t="inlineStr">
        <is>
          <t>REVIEW</t>
        </is>
      </c>
      <c r="J62" s="27" t="inlineStr">
        <is>
          <t>Second OpenAI subscription same cycle</t>
        </is>
      </c>
    </row>
    <row r="63" ht="22" customHeight="1" s="124">
      <c r="B63" s="20" t="n">
        <v>60</v>
      </c>
      <c r="C63" s="21" t="inlineStr">
        <is>
          <t>2026-06</t>
        </is>
      </c>
      <c r="D63" s="22" t="n">
        <v>46160</v>
      </c>
      <c r="E63" s="23" t="inlineStr">
        <is>
          <t>Cloudflare</t>
        </is>
      </c>
      <c r="F63" s="23" t="inlineStr">
        <is>
          <t>Infrastructure</t>
        </is>
      </c>
      <c r="G63" s="24" t="n">
        <v>-83.44</v>
      </c>
      <c r="H63" s="25" t="n">
        <v>15.9</v>
      </c>
      <c r="I63" s="26" t="inlineStr">
        <is>
          <t>REVIEW</t>
        </is>
      </c>
      <c r="J63" s="27" t="inlineStr">
        <is>
          <t>Cloudflare recurring charge</t>
        </is>
      </c>
    </row>
    <row r="64" ht="22" customHeight="1" s="124">
      <c r="B64" s="37" t="n">
        <v>61</v>
      </c>
      <c r="C64" s="38" t="inlineStr">
        <is>
          <t>2026-06</t>
        </is>
      </c>
      <c r="D64" s="39" t="n">
        <v>46161</v>
      </c>
      <c r="E64" s="40" t="inlineStr">
        <is>
          <t>Google YouTube</t>
        </is>
      </c>
      <c r="F64" s="40" t="inlineStr">
        <is>
          <t>Media/Google</t>
        </is>
      </c>
      <c r="G64" s="41" t="n">
        <v>-269</v>
      </c>
      <c r="H64" s="42" t="n"/>
      <c r="I64" s="43" t="inlineStr">
        <is>
          <t>CANCEL</t>
        </is>
      </c>
      <c r="J64" s="44" t="inlineStr">
        <is>
          <t>Not core productivity/AI unless intentional</t>
        </is>
      </c>
    </row>
    <row r="65" ht="22" customHeight="1" s="124">
      <c r="B65" s="47" t="n">
        <v>62</v>
      </c>
      <c r="C65" s="48" t="inlineStr">
        <is>
          <t>2026-06</t>
        </is>
      </c>
      <c r="D65" s="49" t="n">
        <v>46162</v>
      </c>
      <c r="E65" s="50" t="inlineStr">
        <is>
          <t>OpenAI ChatGPT Credit</t>
        </is>
      </c>
      <c r="F65" s="50" t="inlineStr">
        <is>
          <t>AI API/Credits</t>
        </is>
      </c>
      <c r="G65" s="51" t="n">
        <v>-208.66</v>
      </c>
      <c r="H65" s="52" t="n">
        <v>40</v>
      </c>
      <c r="I65" s="53" t="inlineStr">
        <is>
          <t>PAUSE</t>
        </is>
      </c>
      <c r="J65" s="54" t="inlineStr">
        <is>
          <t>API credits separate from Plus</t>
        </is>
      </c>
    </row>
    <row r="66" ht="22" customHeight="1" s="124">
      <c r="B66" s="47" t="n">
        <v>63</v>
      </c>
      <c r="C66" s="48" t="inlineStr">
        <is>
          <t>2026-06</t>
        </is>
      </c>
      <c r="D66" s="49" t="n">
        <v>46165</v>
      </c>
      <c r="E66" s="50" t="inlineStr">
        <is>
          <t>OpenAI ChatGPT Credit</t>
        </is>
      </c>
      <c r="F66" s="50" t="inlineStr">
        <is>
          <t>AI API/Credits</t>
        </is>
      </c>
      <c r="G66" s="51" t="n">
        <v>-207.42</v>
      </c>
      <c r="H66" s="52" t="n">
        <v>40</v>
      </c>
      <c r="I66" s="53" t="inlineStr">
        <is>
          <t>PAUSE</t>
        </is>
      </c>
      <c r="J66" s="54" t="inlineStr">
        <is>
          <t>API credits separate from Plus</t>
        </is>
      </c>
    </row>
    <row r="67" ht="22" customHeight="1" s="124">
      <c r="B67" s="37" t="n">
        <v>64</v>
      </c>
      <c r="C67" s="38" t="inlineStr">
        <is>
          <t>2026-06</t>
        </is>
      </c>
      <c r="D67" s="39" t="n">
        <v>46166</v>
      </c>
      <c r="E67" s="40" t="inlineStr">
        <is>
          <t>Apple.com/Bill</t>
        </is>
      </c>
      <c r="F67" s="40" t="inlineStr">
        <is>
          <t>Apple/Media</t>
        </is>
      </c>
      <c r="G67" s="41" t="n">
        <v>-31.9</v>
      </c>
      <c r="H67" s="42" t="n"/>
      <c r="I67" s="43" t="inlineStr">
        <is>
          <t>CANCEL</t>
        </is>
      </c>
      <c r="J67" s="44" t="inlineStr">
        <is>
          <t>Likely TuneIn or app; not core stack</t>
        </is>
      </c>
    </row>
    <row r="68" ht="22" customHeight="1" s="124">
      <c r="B68" s="37" t="n">
        <v>65</v>
      </c>
      <c r="C68" s="38" t="inlineStr">
        <is>
          <t>2026-06</t>
        </is>
      </c>
      <c r="D68" s="39" t="n">
        <v>46170</v>
      </c>
      <c r="E68" s="40" t="inlineStr">
        <is>
          <t>Anthropic</t>
        </is>
      </c>
      <c r="F68" s="40" t="inlineStr">
        <is>
          <t>AI - General/Coding</t>
        </is>
      </c>
      <c r="G68" s="41" t="n">
        <v>-103.5</v>
      </c>
      <c r="H68" s="42" t="n"/>
      <c r="I68" s="43" t="inlineStr">
        <is>
          <t>CANCEL</t>
        </is>
      </c>
      <c r="J68" s="44" t="inlineStr">
        <is>
          <t>Claude/Anthropic extra charge</t>
        </is>
      </c>
    </row>
    <row r="69" ht="22" customHeight="1" s="124">
      <c r="B69" s="29" t="n">
        <v>66</v>
      </c>
      <c r="C69" s="30" t="inlineStr">
        <is>
          <t>2026-06</t>
        </is>
      </c>
      <c r="D69" s="31" t="n">
        <v>46172</v>
      </c>
      <c r="E69" s="32" t="inlineStr">
        <is>
          <t>Apple.com/Bill</t>
        </is>
      </c>
      <c r="F69" s="32" t="inlineStr">
        <is>
          <t>AI - Research/Apple-billed</t>
        </is>
      </c>
      <c r="G69" s="33" t="n">
        <v>-99.90000000000001</v>
      </c>
      <c r="H69" s="34" t="n"/>
      <c r="I69" s="35" t="inlineStr">
        <is>
          <t>KEEP</t>
        </is>
      </c>
      <c r="J69" s="36" t="inlineStr">
        <is>
          <t>Likely Perplexity Pro Apple billing</t>
        </is>
      </c>
    </row>
    <row r="70" ht="22" customHeight="1" s="124">
      <c r="B70" s="37" t="n">
        <v>67</v>
      </c>
      <c r="C70" s="38" t="inlineStr">
        <is>
          <t>2026-06</t>
        </is>
      </c>
      <c r="D70" s="39" t="n">
        <v>46172</v>
      </c>
      <c r="E70" s="40" t="inlineStr">
        <is>
          <t>Claude.ai Subscription</t>
        </is>
      </c>
      <c r="F70" s="40" t="inlineStr">
        <is>
          <t>AI - General/Coding</t>
        </is>
      </c>
      <c r="G70" s="41" t="n">
        <v>-113.85</v>
      </c>
      <c r="H70" s="42" t="n"/>
      <c r="I70" s="43" t="inlineStr">
        <is>
          <t>CANCEL</t>
        </is>
      </c>
      <c r="J70" s="44" t="inlineStr">
        <is>
          <t>Extra Claude charge</t>
        </is>
      </c>
    </row>
    <row r="71" ht="22" customHeight="1" s="124">
      <c r="B71" s="20" t="n">
        <v>68</v>
      </c>
      <c r="C71" s="21" t="inlineStr">
        <is>
          <t>2026-06</t>
        </is>
      </c>
      <c r="D71" s="22" t="n">
        <v>46174</v>
      </c>
      <c r="E71" s="23" t="inlineStr">
        <is>
          <t>Perplexity.ai</t>
        </is>
      </c>
      <c r="F71" s="23" t="inlineStr">
        <is>
          <t>AI - Research</t>
        </is>
      </c>
      <c r="G71" s="24" t="n">
        <v>-78.56</v>
      </c>
      <c r="H71" s="25" t="n">
        <v>15</v>
      </c>
      <c r="I71" s="26" t="inlineStr">
        <is>
          <t>REVIEW</t>
        </is>
      </c>
      <c r="J71" s="27" t="inlineStr">
        <is>
          <t>Perplexity extra charge</t>
        </is>
      </c>
    </row>
    <row r="72" ht="22" customHeight="1" s="124">
      <c r="B72" s="29" t="n">
        <v>69</v>
      </c>
      <c r="C72" s="30" t="inlineStr">
        <is>
          <t>2026-06</t>
        </is>
      </c>
      <c r="D72" s="31" t="n">
        <v>46174</v>
      </c>
      <c r="E72" s="32" t="inlineStr">
        <is>
          <t>Cursor AI Powered IDE</t>
        </is>
      </c>
      <c r="F72" s="32" t="inlineStr">
        <is>
          <t>AI - Coding</t>
        </is>
      </c>
      <c r="G72" s="33" t="n">
        <v>-111.81</v>
      </c>
      <c r="H72" s="34" t="n"/>
      <c r="I72" s="35" t="inlineStr">
        <is>
          <t>KEEP</t>
        </is>
      </c>
      <c r="J72" s="36" t="inlineStr">
        <is>
          <t>Core coding assistant</t>
        </is>
      </c>
    </row>
    <row r="73" ht="22" customHeight="1" s="124">
      <c r="B73" s="37" t="n">
        <v>70</v>
      </c>
      <c r="C73" s="38" t="inlineStr">
        <is>
          <t>2026-06</t>
        </is>
      </c>
      <c r="D73" s="39" t="n">
        <v>46177</v>
      </c>
      <c r="E73" s="40" t="inlineStr">
        <is>
          <t>Perplexity.ai</t>
        </is>
      </c>
      <c r="F73" s="40" t="inlineStr">
        <is>
          <t>AI - Research</t>
        </is>
      </c>
      <c r="G73" s="41" t="n">
        <v>-78.25</v>
      </c>
      <c r="H73" s="46" t="n">
        <v>15</v>
      </c>
      <c r="I73" s="43" t="inlineStr">
        <is>
          <t>CANCEL</t>
        </is>
      </c>
      <c r="J73" s="44" t="inlineStr">
        <is>
          <t>Duplicate Perplexity charge same day</t>
        </is>
      </c>
    </row>
    <row r="74" ht="22" customHeight="1" s="124">
      <c r="B74" s="37" t="n">
        <v>71</v>
      </c>
      <c r="C74" s="38" t="inlineStr">
        <is>
          <t>2026-06</t>
        </is>
      </c>
      <c r="D74" s="39" t="n">
        <v>46177</v>
      </c>
      <c r="E74" s="40" t="inlineStr">
        <is>
          <t>Perplexity.ai</t>
        </is>
      </c>
      <c r="F74" s="40" t="inlineStr">
        <is>
          <t>AI - Research</t>
        </is>
      </c>
      <c r="G74" s="41" t="n">
        <v>-78.25</v>
      </c>
      <c r="H74" s="46" t="n">
        <v>15</v>
      </c>
      <c r="I74" s="43" t="inlineStr">
        <is>
          <t>CANCEL</t>
        </is>
      </c>
      <c r="J74" s="44" t="inlineStr">
        <is>
          <t>Duplicate Perplexity charge same day</t>
        </is>
      </c>
    </row>
    <row r="75" ht="22" customHeight="1" s="124">
      <c r="B75" s="37" t="n">
        <v>72</v>
      </c>
      <c r="C75" s="38" t="inlineStr">
        <is>
          <t>2026-06</t>
        </is>
      </c>
      <c r="D75" s="39" t="n">
        <v>46178</v>
      </c>
      <c r="E75" s="40" t="inlineStr">
        <is>
          <t>Perplexity.ai</t>
        </is>
      </c>
      <c r="F75" s="40" t="inlineStr">
        <is>
          <t>AI - Research</t>
        </is>
      </c>
      <c r="G75" s="41" t="n">
        <v>-78.25</v>
      </c>
      <c r="H75" s="46" t="n">
        <v>15</v>
      </c>
      <c r="I75" s="43" t="inlineStr">
        <is>
          <t>CANCEL</t>
        </is>
      </c>
      <c r="J75" s="44" t="inlineStr">
        <is>
          <t>Duplicate Perplexity charge</t>
        </is>
      </c>
    </row>
    <row r="76" ht="28" customHeight="1" s="124">
      <c r="B76" s="55" t="inlineStr">
        <is>
          <t>PERIOD TOTAL</t>
        </is>
      </c>
      <c r="G76" s="56">
        <f>SUM(G4:G75)</f>
        <v/>
      </c>
    </row>
    <row r="77" ht="22" customHeight="1" s="124">
      <c r="B77" s="57" t="inlineStr">
        <is>
          <t>CANCEL total (could save)</t>
        </is>
      </c>
      <c r="G77" s="58">
        <f>SUMIF(I4:I75,"CANCEL",G4:G75)</f>
        <v/>
      </c>
    </row>
  </sheetData>
  <autoFilter ref="B3:J75"/>
  <mergeCells count="2">
    <mergeCell ref="B1:J1"/>
    <mergeCell ref="B2:J2"/>
  </mergeCells>
  <conditionalFormatting sqref="G4:G75">
    <cfRule type="dataBar" priority="5">
      <dataBar>
        <cfvo type="min"/>
        <cfvo type="max"/>
        <color rgb="FFFF6B6B"/>
      </dataBar>
    </cfRule>
  </conditionalFormatting>
  <conditionalFormatting sqref="I4:I75">
    <cfRule type="cellIs" priority="1" operator="equal" dxfId="3">
      <formula>"KEEP"</formula>
    </cfRule>
    <cfRule type="cellIs" priority="2" operator="equal" dxfId="2">
      <formula>"CANCEL"</formula>
    </cfRule>
    <cfRule type="cellIs" priority="3" operator="equal" dxfId="1">
      <formula>"REVIEW"</formula>
    </cfRule>
    <cfRule type="cellIs" priority="4" operator="equal" dxfId="0">
      <formula>"PAUSE"</formula>
    </cfRule>
  </conditionalFormatting>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showDropDown="0" showInputMessage="0" showErrorMessage="0" allowBlank="1" type="list">
      <formula1>"KEEP,CANCEL,REVIEW,PAUSE"</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P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22" customWidth="1" style="124" min="2" max="2"/>
    <col width="28" customWidth="1" style="124" min="3" max="3"/>
    <col width="20" customWidth="1" style="124" min="4" max="4"/>
    <col width="12" customWidth="1" style="124" min="5" max="5"/>
    <col width="14" customWidth="1" style="124" min="6" max="7"/>
    <col width="16" customWidth="1" style="124" min="8" max="8"/>
    <col width="22" customWidth="1" style="124" min="9" max="9"/>
    <col width="14" customWidth="1" style="124" min="10" max="10"/>
    <col width="12" customWidth="1" style="124" min="11" max="11"/>
    <col width="28" customWidth="1" style="124" min="12" max="12"/>
    <col width="20" customWidth="1" style="124" min="14" max="14"/>
    <col width="12" customWidth="1" style="124" min="15" max="15"/>
    <col width="8" customWidth="1" style="124" min="16" max="16"/>
  </cols>
  <sheetData>
    <row r="1" ht="36" customHeight="1" s="124">
      <c r="B1" s="126" t="inlineStr">
        <is>
          <t>🔄  Subscriptions — 15 Services Tracked</t>
        </is>
      </c>
      <c r="N1" s="109" t="inlineStr">
        <is>
          <t>📊 Monthly Cost by Decision</t>
        </is>
      </c>
    </row>
    <row r="2" ht="22" customHeight="1" s="124">
      <c r="B2" s="123" t="inlineStr">
        <is>
          <t>Source: subscription_budget_dashboard_v3_deduped.xlsx · Decisions pre-assigned by operator</t>
        </is>
      </c>
      <c r="N2" s="110" t="inlineStr">
        <is>
          <t>Decision</t>
        </is>
      </c>
      <c r="O2" s="110" t="inlineStr">
        <is>
          <t>Monthly BRL</t>
        </is>
      </c>
      <c r="P2" s="110" t="inlineStr">
        <is>
          <t>Count</t>
        </is>
      </c>
    </row>
    <row r="3" ht="26" customHeight="1" s="124">
      <c r="B3" s="4" t="inlineStr">
        <is>
          <t>Source</t>
        </is>
      </c>
      <c r="C3" s="4" t="inlineStr">
        <is>
          <t>Service</t>
        </is>
      </c>
      <c r="D3" s="4" t="inlineStr">
        <is>
          <t>Email</t>
        </is>
      </c>
      <c r="E3" s="4" t="inlineStr">
        <is>
          <t>Plan</t>
        </is>
      </c>
      <c r="F3" s="4" t="inlineStr">
        <is>
          <t>CCY</t>
        </is>
      </c>
      <c r="G3" s="4" t="inlineStr">
        <is>
          <t>Price</t>
        </is>
      </c>
      <c r="H3" s="4" t="inlineStr">
        <is>
          <t>Cycle</t>
        </is>
      </c>
      <c r="I3" s="4" t="inlineStr">
        <is>
          <t>Monthly BRL</t>
        </is>
      </c>
      <c r="J3" s="4" t="inlineStr">
        <is>
          <t>Category</t>
        </is>
      </c>
      <c r="K3" s="4" t="inlineStr">
        <is>
          <t>Dup Risk</t>
        </is>
      </c>
      <c r="L3" s="4" t="inlineStr">
        <is>
          <t>Decision</t>
        </is>
      </c>
      <c r="N3" t="inlineStr">
        <is>
          <t>KEEP</t>
        </is>
      </c>
      <c r="O3" s="111">
        <f>SUMIF($L$4:$L$18,N3,$I$4:$I$18)</f>
        <v/>
      </c>
      <c r="P3">
        <f>COUNTIF($L$4:$L$18,N3)</f>
        <v/>
      </c>
    </row>
    <row r="4" ht="22" customHeight="1" s="124">
      <c r="B4" s="40" t="inlineStr">
        <is>
          <t>Direct AI</t>
        </is>
      </c>
      <c r="C4" s="59" t="inlineStr">
        <is>
          <t>Claude</t>
        </is>
      </c>
      <c r="D4" s="60" t="inlineStr">
        <is>
          <t>automacao.giovannini@gmail.com</t>
        </is>
      </c>
      <c r="E4" s="40" t="inlineStr">
        <is>
          <t>Pro</t>
        </is>
      </c>
      <c r="F4" s="38" t="inlineStr">
        <is>
          <t>BRL</t>
        </is>
      </c>
      <c r="G4" s="61" t="n">
        <v>92</v>
      </c>
      <c r="H4" s="38" t="inlineStr">
        <is>
          <t>monthly</t>
        </is>
      </c>
      <c r="I4" s="61" t="n">
        <v>92</v>
      </c>
      <c r="J4" s="40" t="inlineStr">
        <is>
          <t>AI - General/Coding</t>
        </is>
      </c>
      <c r="K4" s="38" t="inlineStr">
        <is>
          <t>HIGH</t>
        </is>
      </c>
      <c r="L4" s="43" t="inlineStr">
        <is>
          <t>CANCEL</t>
        </is>
      </c>
      <c r="N4" t="inlineStr">
        <is>
          <t>CANCEL</t>
        </is>
      </c>
      <c r="O4" s="111">
        <f>SUMIF($L$4:$L$18,N4,$I$4:$I$18)</f>
        <v/>
      </c>
      <c r="P4">
        <f>COUNTIF($L$4:$L$18,N4)</f>
        <v/>
      </c>
    </row>
    <row r="5" ht="22" customHeight="1" s="124">
      <c r="B5" s="40" t="inlineStr">
        <is>
          <t>Direct AI</t>
        </is>
      </c>
      <c r="C5" s="59" t="inlineStr">
        <is>
          <t>Claude</t>
        </is>
      </c>
      <c r="D5" s="60" t="inlineStr">
        <is>
          <t>cadastros.online1979@gmail.com</t>
        </is>
      </c>
      <c r="E5" s="40" t="inlineStr">
        <is>
          <t>Pro</t>
        </is>
      </c>
      <c r="F5" s="38" t="inlineStr">
        <is>
          <t>BRL</t>
        </is>
      </c>
      <c r="G5" s="61" t="n">
        <v>92</v>
      </c>
      <c r="H5" s="38" t="inlineStr">
        <is>
          <t>monthly</t>
        </is>
      </c>
      <c r="I5" s="61" t="n">
        <v>92</v>
      </c>
      <c r="J5" s="40" t="inlineStr">
        <is>
          <t>AI - General/Coding</t>
        </is>
      </c>
      <c r="K5" s="38" t="inlineStr">
        <is>
          <t>HIGH</t>
        </is>
      </c>
      <c r="L5" s="43" t="inlineStr">
        <is>
          <t>CANCEL</t>
        </is>
      </c>
      <c r="N5" t="inlineStr">
        <is>
          <t>REVIEW</t>
        </is>
      </c>
      <c r="O5" s="111">
        <f>SUMIF($L$4:$L$18,N5,$I$4:$I$18)</f>
        <v/>
      </c>
      <c r="P5">
        <f>COUNTIF($L$4:$L$18,N5)</f>
        <v/>
      </c>
    </row>
    <row r="6" ht="22" customHeight="1" s="124">
      <c r="B6" s="32" t="inlineStr">
        <is>
          <t>Direct AI</t>
        </is>
      </c>
      <c r="C6" s="62" t="inlineStr">
        <is>
          <t>ChatGPT</t>
        </is>
      </c>
      <c r="D6" s="63" t="inlineStr">
        <is>
          <t>giovannini.eduardo@gmail.com</t>
        </is>
      </c>
      <c r="E6" s="32" t="inlineStr">
        <is>
          <t>Plus</t>
        </is>
      </c>
      <c r="F6" s="30" t="inlineStr">
        <is>
          <t>USD</t>
        </is>
      </c>
      <c r="G6" s="64" t="n">
        <v>20</v>
      </c>
      <c r="H6" s="30" t="inlineStr">
        <is>
          <t>monthly</t>
        </is>
      </c>
      <c r="I6" s="64" t="n">
        <v>106</v>
      </c>
      <c r="J6" s="32" t="inlineStr">
        <is>
          <t>AI - General Assistant</t>
        </is>
      </c>
      <c r="K6" s="30" t="inlineStr">
        <is>
          <t>MEDIUM</t>
        </is>
      </c>
      <c r="L6" s="35" t="inlineStr">
        <is>
          <t>KEEP</t>
        </is>
      </c>
    </row>
    <row r="7" ht="22" customHeight="1" s="124">
      <c r="B7" s="23" t="inlineStr">
        <is>
          <t>Direct AI</t>
        </is>
      </c>
      <c r="C7" s="65" t="inlineStr">
        <is>
          <t>Google</t>
        </is>
      </c>
      <c r="D7" s="66" t="inlineStr">
        <is>
          <t>cadastros.online1979@gmail.com</t>
        </is>
      </c>
      <c r="E7" s="23" t="inlineStr">
        <is>
          <t>Pro</t>
        </is>
      </c>
      <c r="F7" s="21" t="inlineStr">
        <is>
          <t>BRL</t>
        </is>
      </c>
      <c r="G7" s="67" t="n">
        <v>96.98999999999999</v>
      </c>
      <c r="H7" s="21" t="inlineStr">
        <is>
          <t>monthly</t>
        </is>
      </c>
      <c r="I7" s="67" t="n">
        <v>96.98999999999999</v>
      </c>
      <c r="J7" s="23" t="inlineStr">
        <is>
          <t>AI - General/Workspace</t>
        </is>
      </c>
      <c r="K7" s="21" t="inlineStr">
        <is>
          <t>HIGH</t>
        </is>
      </c>
      <c r="L7" s="26" t="inlineStr">
        <is>
          <t>REVIEW</t>
        </is>
      </c>
    </row>
    <row r="8" ht="22" customHeight="1" s="124">
      <c r="B8" s="23" t="inlineStr">
        <is>
          <t>Direct AI</t>
        </is>
      </c>
      <c r="C8" s="65" t="inlineStr">
        <is>
          <t>Manus</t>
        </is>
      </c>
      <c r="D8" s="66" t="inlineStr">
        <is>
          <t>cadastro.giovannini@gmail.com</t>
        </is>
      </c>
      <c r="E8" s="23" t="inlineStr">
        <is>
          <t>Unknown / credits</t>
        </is>
      </c>
      <c r="F8" s="21" t="inlineStr">
        <is>
          <t>UNKNOWN</t>
        </is>
      </c>
      <c r="G8" s="28" t="n"/>
      <c r="H8" s="21" t="inlineStr">
        <is>
          <t>UNKNOWN</t>
        </is>
      </c>
      <c r="I8" s="28" t="n">
        <v>0</v>
      </c>
      <c r="J8" s="23" t="inlineStr">
        <is>
          <t>AI - Agent/Credits</t>
        </is>
      </c>
      <c r="K8" s="21" t="inlineStr">
        <is>
          <t>UNKNOWN</t>
        </is>
      </c>
      <c r="L8" s="26" t="inlineStr">
        <is>
          <t>REVIEW</t>
        </is>
      </c>
    </row>
    <row r="9" ht="22" customHeight="1" s="124">
      <c r="B9" s="23" t="inlineStr">
        <is>
          <t>Direct AI</t>
        </is>
      </c>
      <c r="C9" s="65" t="inlineStr">
        <is>
          <t>Manus</t>
        </is>
      </c>
      <c r="D9" s="66" t="inlineStr">
        <is>
          <t>automacao.giovannini@gmail.com</t>
        </is>
      </c>
      <c r="E9" s="23" t="inlineStr">
        <is>
          <t>Unknown / credits</t>
        </is>
      </c>
      <c r="F9" s="21" t="inlineStr">
        <is>
          <t>UNKNOWN</t>
        </is>
      </c>
      <c r="G9" s="28" t="n"/>
      <c r="H9" s="21" t="inlineStr">
        <is>
          <t>UNKNOWN</t>
        </is>
      </c>
      <c r="I9" s="28" t="n">
        <v>418.43</v>
      </c>
      <c r="J9" s="23" t="inlineStr">
        <is>
          <t>AI - Agent/Credits</t>
        </is>
      </c>
      <c r="K9" s="21" t="inlineStr">
        <is>
          <t>UNKNOWN</t>
        </is>
      </c>
      <c r="L9" s="26" t="inlineStr">
        <is>
          <t>REVIEW</t>
        </is>
      </c>
    </row>
    <row r="10" ht="22" customHeight="1" s="124">
      <c r="B10" s="32" t="inlineStr">
        <is>
          <t>Direct AI</t>
        </is>
      </c>
      <c r="C10" s="62" t="inlineStr">
        <is>
          <t>Cursor</t>
        </is>
      </c>
      <c r="D10" s="63" t="inlineStr">
        <is>
          <t>giovannini.eduardo@gmail.com</t>
        </is>
      </c>
      <c r="E10" s="32" t="inlineStr">
        <is>
          <t>Pro</t>
        </is>
      </c>
      <c r="F10" s="30" t="inlineStr">
        <is>
          <t>USD</t>
        </is>
      </c>
      <c r="G10" s="64" t="n">
        <v>20</v>
      </c>
      <c r="H10" s="30" t="inlineStr">
        <is>
          <t>monthly</t>
        </is>
      </c>
      <c r="I10" s="64" t="n">
        <v>106</v>
      </c>
      <c r="J10" s="32" t="inlineStr">
        <is>
          <t>AI - Coding Assistant</t>
        </is>
      </c>
      <c r="K10" s="30" t="inlineStr">
        <is>
          <t>MEDIUM</t>
        </is>
      </c>
      <c r="L10" s="35" t="inlineStr">
        <is>
          <t>KEEP</t>
        </is>
      </c>
    </row>
    <row r="11" ht="22" customHeight="1" s="124">
      <c r="B11" s="23" t="inlineStr">
        <is>
          <t>Direct AI</t>
        </is>
      </c>
      <c r="C11" s="65" t="inlineStr">
        <is>
          <t>Desktop Commander</t>
        </is>
      </c>
      <c r="D11" s="66" t="inlineStr">
        <is>
          <t>automacao.giovannini@gmail.com</t>
        </is>
      </c>
      <c r="E11" s="23" t="inlineStr">
        <is>
          <t>Unlimited</t>
        </is>
      </c>
      <c r="F11" s="21" t="inlineStr">
        <is>
          <t>UNKNOWN</t>
        </is>
      </c>
      <c r="G11" s="28" t="n"/>
      <c r="H11" s="21" t="inlineStr">
        <is>
          <t>UNKNOWN</t>
        </is>
      </c>
      <c r="I11" s="28" t="n">
        <v>45.37</v>
      </c>
      <c r="J11" s="23" t="inlineStr">
        <is>
          <t>AI - Desktop Automation</t>
        </is>
      </c>
      <c r="K11" s="21" t="inlineStr">
        <is>
          <t>UNKNOWN</t>
        </is>
      </c>
      <c r="L11" s="26" t="inlineStr">
        <is>
          <t>REVIEW</t>
        </is>
      </c>
    </row>
    <row r="12" ht="22" customHeight="1" s="124">
      <c r="B12" s="23" t="inlineStr">
        <is>
          <t>Apple</t>
        </is>
      </c>
      <c r="C12" s="65" t="inlineStr">
        <is>
          <t>Filmora9</t>
        </is>
      </c>
      <c r="D12" s="66" t="inlineStr">
        <is>
          <t>Unknown</t>
        </is>
      </c>
      <c r="E12" s="23" t="inlineStr">
        <is>
          <t>Annual Subscription</t>
        </is>
      </c>
      <c r="F12" s="21" t="inlineStr">
        <is>
          <t>BRL</t>
        </is>
      </c>
      <c r="G12" s="67" t="n">
        <v>184.9</v>
      </c>
      <c r="H12" s="21" t="inlineStr">
        <is>
          <t>annual</t>
        </is>
      </c>
      <c r="I12" s="67" t="n">
        <v>15.40833333333333</v>
      </c>
      <c r="J12" s="23" t="inlineStr">
        <is>
          <t>Creative/Productivity</t>
        </is>
      </c>
      <c r="K12" s="21" t="inlineStr">
        <is>
          <t>LOW</t>
        </is>
      </c>
      <c r="L12" s="26" t="inlineStr">
        <is>
          <t>REVIEW</t>
        </is>
      </c>
    </row>
    <row r="13" ht="22" customHeight="1" s="124">
      <c r="B13" s="40" t="inlineStr">
        <is>
          <t>Apple</t>
        </is>
      </c>
      <c r="C13" s="59" t="inlineStr">
        <is>
          <t>Grok</t>
        </is>
      </c>
      <c r="D13" s="60" t="inlineStr">
        <is>
          <t>Unknown</t>
        </is>
      </c>
      <c r="E13" s="40" t="inlineStr">
        <is>
          <t>SuperGrok</t>
        </is>
      </c>
      <c r="F13" s="38" t="inlineStr">
        <is>
          <t>BRL</t>
        </is>
      </c>
      <c r="G13" s="61" t="n">
        <v>149.9</v>
      </c>
      <c r="H13" s="38" t="inlineStr">
        <is>
          <t>monthly</t>
        </is>
      </c>
      <c r="I13" s="61" t="n">
        <v>149.9</v>
      </c>
      <c r="J13" s="40" t="inlineStr">
        <is>
          <t>AI - General/Media</t>
        </is>
      </c>
      <c r="K13" s="38" t="inlineStr">
        <is>
          <t>HIGH</t>
        </is>
      </c>
      <c r="L13" s="43" t="inlineStr">
        <is>
          <t>CANCEL</t>
        </is>
      </c>
    </row>
    <row r="14" ht="22" customHeight="1" s="124">
      <c r="B14" s="32" t="inlineStr">
        <is>
          <t>Apple</t>
        </is>
      </c>
      <c r="C14" s="62" t="inlineStr">
        <is>
          <t>iCloud+</t>
        </is>
      </c>
      <c r="D14" s="63" t="inlineStr">
        <is>
          <t>Unknown</t>
        </is>
      </c>
      <c r="E14" s="32" t="inlineStr">
        <is>
          <t>200 GB storage</t>
        </is>
      </c>
      <c r="F14" s="30" t="inlineStr">
        <is>
          <t>BRL</t>
        </is>
      </c>
      <c r="G14" s="64" t="n">
        <v>19.9</v>
      </c>
      <c r="H14" s="30" t="inlineStr">
        <is>
          <t>monthly</t>
        </is>
      </c>
      <c r="I14" s="64" t="n">
        <v>19.9</v>
      </c>
      <c r="J14" s="32" t="inlineStr">
        <is>
          <t>Cloud/Storage</t>
        </is>
      </c>
      <c r="K14" s="30" t="inlineStr">
        <is>
          <t>LOW</t>
        </is>
      </c>
      <c r="L14" s="35" t="inlineStr">
        <is>
          <t>KEEP</t>
        </is>
      </c>
    </row>
    <row r="15" ht="22" customHeight="1" s="124">
      <c r="B15" s="23" t="inlineStr">
        <is>
          <t>Apple</t>
        </is>
      </c>
      <c r="C15" s="65" t="inlineStr">
        <is>
          <t>Microsoft 365 Personal</t>
        </is>
      </c>
      <c r="D15" s="66" t="inlineStr">
        <is>
          <t>Unknown</t>
        </is>
      </c>
      <c r="E15" s="23" t="inlineStr">
        <is>
          <t>Personal</t>
        </is>
      </c>
      <c r="F15" s="21" t="inlineStr">
        <is>
          <t>BRL</t>
        </is>
      </c>
      <c r="G15" s="67" t="n">
        <v>509</v>
      </c>
      <c r="H15" s="21" t="inlineStr">
        <is>
          <t>annual</t>
        </is>
      </c>
      <c r="I15" s="67" t="n">
        <v>42.41666666666666</v>
      </c>
      <c r="J15" s="23" t="inlineStr">
        <is>
          <t>Productivity/Cloud</t>
        </is>
      </c>
      <c r="K15" s="21" t="inlineStr">
        <is>
          <t>MEDIUM</t>
        </is>
      </c>
      <c r="L15" s="26" t="inlineStr">
        <is>
          <t>REVIEW</t>
        </is>
      </c>
    </row>
    <row r="16" ht="22" customHeight="1" s="124">
      <c r="B16" s="23" t="inlineStr">
        <is>
          <t>Apple</t>
        </is>
      </c>
      <c r="C16" s="65" t="inlineStr">
        <is>
          <t>NordVPN</t>
        </is>
      </c>
      <c r="D16" s="66" t="inlineStr">
        <is>
          <t>Unknown</t>
        </is>
      </c>
      <c r="E16" s="23" t="inlineStr">
        <is>
          <t>Auto-renewable Subscription</t>
        </is>
      </c>
      <c r="F16" s="21" t="inlineStr">
        <is>
          <t>BRL</t>
        </is>
      </c>
      <c r="G16" s="67" t="n">
        <v>339.9</v>
      </c>
      <c r="H16" s="21" t="inlineStr">
        <is>
          <t>annual</t>
        </is>
      </c>
      <c r="I16" s="67" t="n">
        <v>28.325</v>
      </c>
      <c r="J16" s="23" t="inlineStr">
        <is>
          <t>Security/VPN</t>
        </is>
      </c>
      <c r="K16" s="21" t="inlineStr">
        <is>
          <t>LOW</t>
        </is>
      </c>
      <c r="L16" s="26" t="inlineStr">
        <is>
          <t>REVIEW</t>
        </is>
      </c>
    </row>
    <row r="17" ht="22" customHeight="1" s="124">
      <c r="B17" s="32" t="inlineStr">
        <is>
          <t>Apple</t>
        </is>
      </c>
      <c r="C17" s="62" t="inlineStr">
        <is>
          <t>Perplexity</t>
        </is>
      </c>
      <c r="D17" s="63" t="inlineStr">
        <is>
          <t>Unknown</t>
        </is>
      </c>
      <c r="E17" s="32" t="inlineStr">
        <is>
          <t>Perplexity Pro for Mac</t>
        </is>
      </c>
      <c r="F17" s="30" t="inlineStr">
        <is>
          <t>BRL</t>
        </is>
      </c>
      <c r="G17" s="64" t="n">
        <v>99.90000000000001</v>
      </c>
      <c r="H17" s="30" t="inlineStr">
        <is>
          <t>monthly</t>
        </is>
      </c>
      <c r="I17" s="64" t="n">
        <v>99.90000000000001</v>
      </c>
      <c r="J17" s="32" t="inlineStr">
        <is>
          <t>AI - Research Assistant</t>
        </is>
      </c>
      <c r="K17" s="30" t="inlineStr">
        <is>
          <t>HIGH</t>
        </is>
      </c>
      <c r="L17" s="35" t="inlineStr">
        <is>
          <t>KEEP</t>
        </is>
      </c>
    </row>
    <row r="18" ht="22" customHeight="1" s="124">
      <c r="B18" s="40" t="inlineStr">
        <is>
          <t>Apple</t>
        </is>
      </c>
      <c r="C18" s="59" t="inlineStr">
        <is>
          <t>TuneIn Radio</t>
        </is>
      </c>
      <c r="D18" s="60" t="inlineStr">
        <is>
          <t>Unknown</t>
        </is>
      </c>
      <c r="E18" s="40" t="inlineStr">
        <is>
          <t>TuneIn Premium</t>
        </is>
      </c>
      <c r="F18" s="38" t="inlineStr">
        <is>
          <t>BRL</t>
        </is>
      </c>
      <c r="G18" s="61" t="n">
        <v>31.9</v>
      </c>
      <c r="H18" s="38" t="inlineStr">
        <is>
          <t>monthly</t>
        </is>
      </c>
      <c r="I18" s="61" t="n">
        <v>31.9</v>
      </c>
      <c r="J18" s="40" t="inlineStr">
        <is>
          <t>Entertainment</t>
        </is>
      </c>
      <c r="K18" s="38" t="inlineStr">
        <is>
          <t>LOW</t>
        </is>
      </c>
      <c r="L18" s="43" t="inlineStr">
        <is>
          <t>CANCEL</t>
        </is>
      </c>
    </row>
    <row r="20" ht="26" customHeight="1" s="124">
      <c r="B20" s="68" t="inlineStr">
        <is>
          <t>KEEP TOTAL/MONTH</t>
        </is>
      </c>
      <c r="I20" s="19">
        <f>SUMIF(L4:L19,"KEEP",I4:I19)</f>
        <v/>
      </c>
      <c r="N20" s="109" t="inlineStr">
        <is>
          <t>⚠️ Duplicate Risk Exposure</t>
        </is>
      </c>
    </row>
    <row r="21" ht="26" customHeight="1" s="124">
      <c r="B21" s="69" t="inlineStr">
        <is>
          <t>CANCEL SAVINGS/MONTH</t>
        </is>
      </c>
      <c r="I21" s="70">
        <f>SUMIF(L4:L19,"CANCEL",I4:I19)</f>
        <v/>
      </c>
      <c r="N21" s="110" t="inlineStr">
        <is>
          <t>Dup Risk</t>
        </is>
      </c>
      <c r="O21" s="110" t="inlineStr">
        <is>
          <t>Monthly BRL</t>
        </is>
      </c>
      <c r="P21" s="110" t="inlineStr">
        <is>
          <t>Count</t>
        </is>
      </c>
    </row>
    <row r="22">
      <c r="B22" t="inlineStr">
        <is>
          <t>REVIEW TOTAL/MONTH</t>
        </is>
      </c>
      <c r="I22" s="111">
        <f>SUMIF(L4:L18,"REVIEW",I4:I18)</f>
        <v/>
      </c>
      <c r="N22" t="inlineStr">
        <is>
          <t>HIGH</t>
        </is>
      </c>
      <c r="O22" s="111">
        <f>SUMIF($K$4:$K$18,N22,$I$4:$I$18)</f>
        <v/>
      </c>
      <c r="P22">
        <f>COUNTIF($K$4:$K$18,N22)</f>
        <v/>
      </c>
    </row>
    <row r="23">
      <c r="N23" t="inlineStr">
        <is>
          <t>MEDIUM</t>
        </is>
      </c>
      <c r="O23" s="111">
        <f>SUMIF($K$4:$K$18,N23,$I$4:$I$18)</f>
        <v/>
      </c>
      <c r="P23">
        <f>COUNTIF($K$4:$K$18,N23)</f>
        <v/>
      </c>
    </row>
    <row r="24">
      <c r="N24" t="inlineStr">
        <is>
          <t>LOW</t>
        </is>
      </c>
      <c r="O24" s="111">
        <f>SUMIF($K$4:$K$18,N24,$I$4:$I$18)</f>
        <v/>
      </c>
      <c r="P24">
        <f>COUNTIF($K$4:$K$18,N24)</f>
        <v/>
      </c>
    </row>
    <row r="25">
      <c r="N25" t="inlineStr">
        <is>
          <t>UNKNOWN</t>
        </is>
      </c>
      <c r="O25" s="111">
        <f>SUMIF($K$4:$K$18,N25,$I$4:$I$18)</f>
        <v/>
      </c>
      <c r="P25">
        <f>COUNTIF($K$4:$K$18,N25)</f>
        <v/>
      </c>
    </row>
  </sheetData>
  <autoFilter ref="B3:L19"/>
  <mergeCells count="2">
    <mergeCell ref="B2:L2"/>
    <mergeCell ref="B1:L1"/>
  </mergeCells>
  <conditionalFormatting sqref="K4:K18">
    <cfRule type="cellIs" priority="5" operator="equal" dxfId="2">
      <formula>"HIGH"</formula>
    </cfRule>
    <cfRule type="cellIs" priority="6" operator="equal" dxfId="1">
      <formula>"MEDIUM"</formula>
    </cfRule>
    <cfRule type="cellIs" priority="7" operator="equal" dxfId="3">
      <formula>"LOW"</formula>
    </cfRule>
    <cfRule type="cellIs" priority="8" operator="equal" dxfId="0">
      <formula>"UNKNOWN"</formula>
    </cfRule>
  </conditionalFormatting>
  <conditionalFormatting sqref="L4:L18">
    <cfRule type="cellIs" priority="1" operator="equal" dxfId="3">
      <formula>"KEEP"</formula>
    </cfRule>
    <cfRule type="cellIs" priority="2" operator="equal" dxfId="2">
      <formula>"CANCEL"</formula>
    </cfRule>
    <cfRule type="cellIs" priority="3" operator="equal" dxfId="1">
      <formula>"REVIEW"</formula>
    </cfRule>
    <cfRule type="cellIs" priority="4" operator="equal" dxfId="0">
      <formula>"PAUSE"</formula>
    </cfRule>
  </conditionalFormatting>
  <dataValidations count="1">
    <dataValidation sqref="L4 L5 L6 L7 L8 L9 L10 L11 L12 L13 L14 L15 L16 L17 L18" showDropDown="0" showInputMessage="0" showErrorMessage="0" allowBlank="1" type="list">
      <formula1>"KEEP,CANCEL,REVIEW,PAUSE"</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H9"/>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24" customWidth="1" style="124" min="2" max="2"/>
    <col width="30" customWidth="1" style="124" min="3" max="3"/>
    <col width="18" customWidth="1" style="124" min="4" max="5"/>
    <col width="14" customWidth="1" style="124" min="6" max="6"/>
    <col width="18" customWidth="1" style="124" min="7" max="7"/>
    <col width="34" customWidth="1" style="124" min="8" max="8"/>
  </cols>
  <sheetData>
    <row r="1" ht="36" customHeight="1" s="124">
      <c r="B1" s="126" t="inlineStr">
        <is>
          <t>❌  Cancel Tracker — 4 Services Flagged for Cancellation</t>
        </is>
      </c>
    </row>
    <row r="2" ht="22" customHeight="1" s="124">
      <c r="B2" s="123" t="inlineStr">
        <is>
          <t>Pre-populated from CANCEL decisions in Subscription Dashboard. Update Status each Sunday.</t>
        </is>
      </c>
    </row>
    <row r="3" ht="26" customHeight="1" s="124">
      <c r="B3" s="4" t="inlineStr">
        <is>
          <t>Service</t>
        </is>
      </c>
      <c r="C3" s="4" t="inlineStr">
        <is>
          <t>Account Email</t>
        </is>
      </c>
      <c r="D3" s="4" t="inlineStr">
        <is>
          <t>Monthly BRL</t>
        </is>
      </c>
      <c r="E3" s="4" t="inlineStr">
        <is>
          <t>Status</t>
        </is>
      </c>
      <c r="F3" s="4" t="inlineStr">
        <is>
          <t>Priority</t>
        </is>
      </c>
      <c r="G3" s="4" t="inlineStr">
        <is>
          <t>Target Date</t>
        </is>
      </c>
      <c r="H3" s="4" t="inlineStr">
        <is>
          <t>Notes</t>
        </is>
      </c>
    </row>
    <row r="4" ht="24" customHeight="1" s="124">
      <c r="B4" s="59" t="inlineStr">
        <is>
          <t>Claude</t>
        </is>
      </c>
      <c r="C4" s="71" t="inlineStr">
        <is>
          <t>automacao.giovannini@gmail.com</t>
        </is>
      </c>
      <c r="D4" s="41" t="n">
        <v>92</v>
      </c>
      <c r="E4" s="72" t="inlineStr">
        <is>
          <t>Pending</t>
        </is>
      </c>
      <c r="F4" s="72" t="inlineStr">
        <is>
          <t>High</t>
        </is>
      </c>
      <c r="G4" s="72" t="inlineStr">
        <is>
          <t>Jul 2026</t>
        </is>
      </c>
      <c r="H4" s="44" t="inlineStr">
        <is>
          <t>Duplicate Claude account; overlaps ChatGPT/Cursor/other Claude</t>
        </is>
      </c>
    </row>
    <row r="5" ht="24" customHeight="1" s="124">
      <c r="B5" s="59" t="inlineStr">
        <is>
          <t>Claude</t>
        </is>
      </c>
      <c r="C5" s="71" t="inlineStr">
        <is>
          <t>cadastros.online1979@gmail.com</t>
        </is>
      </c>
      <c r="D5" s="41" t="n">
        <v>92</v>
      </c>
      <c r="E5" s="72" t="inlineStr">
        <is>
          <t>Pending</t>
        </is>
      </c>
      <c r="F5" s="72" t="inlineStr">
        <is>
          <t>High</t>
        </is>
      </c>
      <c r="G5" s="72" t="inlineStr">
        <is>
          <t>Jul 2026</t>
        </is>
      </c>
      <c r="H5" s="44" t="inlineStr">
        <is>
          <t>Second Claude Pro account; pure duplicate</t>
        </is>
      </c>
    </row>
    <row r="6" ht="24" customHeight="1" s="124">
      <c r="B6" s="59" t="inlineStr">
        <is>
          <t>Grok</t>
        </is>
      </c>
      <c r="C6" s="71" t="inlineStr">
        <is>
          <t>Unknown</t>
        </is>
      </c>
      <c r="D6" s="41" t="n">
        <v>149.9</v>
      </c>
      <c r="E6" s="72" t="inlineStr">
        <is>
          <t>Pending</t>
        </is>
      </c>
      <c r="F6" s="72" t="inlineStr">
        <is>
          <t>High</t>
        </is>
      </c>
      <c r="G6" s="72" t="inlineStr">
        <is>
          <t>Jul 2026</t>
        </is>
      </c>
      <c r="H6" s="44" t="inlineStr">
        <is>
          <t>High overlap with ChatGPT/Claude/Google</t>
        </is>
      </c>
    </row>
    <row r="7" ht="24" customHeight="1" s="124">
      <c r="B7" s="59" t="inlineStr">
        <is>
          <t>TuneIn Radio</t>
        </is>
      </c>
      <c r="C7" s="71" t="inlineStr">
        <is>
          <t>Unknown</t>
        </is>
      </c>
      <c r="D7" s="41" t="n">
        <v>31.9</v>
      </c>
      <c r="E7" s="72" t="inlineStr">
        <is>
          <t>Pending</t>
        </is>
      </c>
      <c r="F7" s="72" t="inlineStr">
        <is>
          <t>Low</t>
        </is>
      </c>
      <c r="G7" s="72" t="inlineStr">
        <is>
          <t>Jul 2026</t>
        </is>
      </c>
      <c r="H7" s="44" t="inlineStr">
        <is>
          <t>Non-essential recurring subscription</t>
        </is>
      </c>
    </row>
    <row r="9" ht="28" customHeight="1" s="124">
      <c r="B9" s="73" t="inlineStr">
        <is>
          <t>TOTAL MONTHLY SAVINGS IF ALL CANCELLED</t>
        </is>
      </c>
      <c r="D9" s="70">
        <f>SUM(D4:D8)</f>
        <v/>
      </c>
    </row>
  </sheetData>
  <mergeCells count="2">
    <mergeCell ref="B1:H1"/>
    <mergeCell ref="B2:H2"/>
  </mergeCells>
  <dataValidations count="2">
    <dataValidation sqref="E4 E5 E6 E7" showDropDown="0" showInputMessage="0" showErrorMessage="0" allowBlank="1" type="list">
      <formula1>"Pending,In Progress,Cancelled,Retained,On Hold"</formula1>
    </dataValidation>
    <dataValidation sqref="F4 F5 F6 F7"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4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14" customWidth="1" style="124" min="2" max="2"/>
    <col width="18" customWidth="1" style="124" min="3" max="3"/>
    <col width="40" customWidth="1" style="124" min="4" max="4"/>
    <col width="22" customWidth="1" style="124" min="5" max="7"/>
  </cols>
  <sheetData>
    <row r="1" ht="36" customHeight="1" s="124">
      <c r="B1" s="126" t="inlineStr">
        <is>
          <t>🌉  Cash Bridge — BB Brasil Extrato  (Jan–Jun 2026 · Account 6627102)</t>
        </is>
      </c>
    </row>
    <row r="2" ht="22" customHeight="1" s="124">
      <c r="B2" s="123" t="inlineStr">
        <is>
          <t>Final balance R$42,112.59 confirmed · 30 movements parsed from extrato CSV</t>
        </is>
      </c>
    </row>
    <row r="3" ht="24" customHeight="1" s="124">
      <c r="B3" s="1" t="inlineStr">
        <is>
          <t>Documented Gap (README)</t>
        </is>
      </c>
      <c r="C3" s="74" t="n">
        <v>122000</v>
      </c>
      <c r="E3" s="1" t="inlineStr">
        <is>
          <t>Final Balance (confirmed)</t>
        </is>
      </c>
      <c r="F3" s="75" t="n">
        <v>42112.59</v>
      </c>
    </row>
    <row r="4" ht="26" customHeight="1" s="124">
      <c r="B4" s="4" t="inlineStr">
        <is>
          <t>Date</t>
        </is>
      </c>
      <c r="C4" s="4" t="inlineStr">
        <is>
          <t>Type</t>
        </is>
      </c>
      <c r="D4" s="4" t="inlineStr">
        <is>
          <t>Description</t>
        </is>
      </c>
      <c r="E4" s="4" t="inlineStr">
        <is>
          <t>PIX Amount</t>
        </is>
      </c>
      <c r="F4" s="4" t="inlineStr">
        <is>
          <t>FX / Câmbio</t>
        </is>
      </c>
      <c r="G4" s="4" t="inlineStr">
        <is>
          <t>IOF Paid</t>
        </is>
      </c>
    </row>
    <row r="5" ht="22" customHeight="1" s="124">
      <c r="B5" s="31" t="n">
        <v>46201</v>
      </c>
      <c r="C5" s="35" t="inlineStr">
        <is>
          <t>PIX In</t>
        </is>
      </c>
      <c r="D5" s="32" t="inlineStr">
        <is>
          <t>Eduardo Forster Giovannini</t>
        </is>
      </c>
      <c r="E5" s="76" t="n">
        <v>2000</v>
      </c>
      <c r="F5" s="33" t="n"/>
      <c r="G5" s="64" t="n"/>
    </row>
    <row r="6" ht="22" customHeight="1" s="124">
      <c r="B6" s="31" t="n">
        <v>46201</v>
      </c>
      <c r="C6" s="35" t="inlineStr">
        <is>
          <t>PIX In</t>
        </is>
      </c>
      <c r="D6" s="32" t="inlineStr">
        <is>
          <t>Eduardo F Giovannini</t>
        </is>
      </c>
      <c r="E6" s="76" t="n">
        <v>40000</v>
      </c>
      <c r="F6" s="33" t="n"/>
      <c r="G6" s="64" t="n"/>
    </row>
    <row r="7" ht="22" customHeight="1" s="124">
      <c r="B7" s="31" t="n">
        <v>46198</v>
      </c>
      <c r="C7" s="35" t="inlineStr">
        <is>
          <t>PIX In</t>
        </is>
      </c>
      <c r="D7" s="32" t="inlineStr">
        <is>
          <t>Eduardo F Giovannini</t>
        </is>
      </c>
      <c r="E7" s="76" t="n">
        <v>10</v>
      </c>
      <c r="F7" s="33" t="n"/>
      <c r="G7" s="64" t="n"/>
    </row>
    <row r="8" ht="22" customHeight="1" s="124">
      <c r="B8" s="39" t="n">
        <v>46178</v>
      </c>
      <c r="C8" s="43" t="inlineStr">
        <is>
          <t>PIX Out</t>
        </is>
      </c>
      <c r="D8" s="40" t="inlineStr">
        <is>
          <t>Eduardo Silva Dos Santos</t>
        </is>
      </c>
      <c r="E8" s="41" t="n">
        <v>-480</v>
      </c>
      <c r="F8" s="41" t="n"/>
      <c r="G8" s="61" t="n"/>
    </row>
    <row r="9" ht="22" customHeight="1" s="124">
      <c r="B9" s="39" t="n">
        <v>46170</v>
      </c>
      <c r="C9" s="43" t="inlineStr">
        <is>
          <t>PIX Out</t>
        </is>
      </c>
      <c r="D9" s="40" t="inlineStr">
        <is>
          <t>Eduardo Silva Dos Santos</t>
        </is>
      </c>
      <c r="E9" s="41" t="n">
        <v>-450</v>
      </c>
      <c r="F9" s="41" t="n"/>
      <c r="G9" s="61" t="n"/>
    </row>
    <row r="10" ht="22" customHeight="1" s="124">
      <c r="B10" s="39" t="n">
        <v>46167</v>
      </c>
      <c r="C10" s="43" t="inlineStr">
        <is>
          <t>PIX Out</t>
        </is>
      </c>
      <c r="D10" s="40" t="inlineStr">
        <is>
          <t>Eduardo Silva Dos Santos</t>
        </is>
      </c>
      <c r="E10" s="41" t="n">
        <v>-470</v>
      </c>
      <c r="F10" s="41" t="n"/>
      <c r="G10" s="61" t="n"/>
    </row>
    <row r="11" ht="22" customHeight="1" s="124">
      <c r="B11" s="39" t="n">
        <v>46166</v>
      </c>
      <c r="C11" s="43" t="inlineStr">
        <is>
          <t>PIX Out</t>
        </is>
      </c>
      <c r="D11" s="40" t="inlineStr">
        <is>
          <t>Moacir Jose De Morais Filho</t>
        </is>
      </c>
      <c r="E11" s="41" t="n">
        <v>-700</v>
      </c>
      <c r="F11" s="41" t="n"/>
      <c r="G11" s="61" t="n"/>
    </row>
    <row r="12" ht="22" customHeight="1" s="124">
      <c r="B12" s="39" t="n">
        <v>46164</v>
      </c>
      <c r="C12" s="43" t="inlineStr">
        <is>
          <t>PIX Out</t>
        </is>
      </c>
      <c r="D12" s="40" t="inlineStr">
        <is>
          <t>Lucas Rique Chaves Bezerra</t>
        </is>
      </c>
      <c r="E12" s="41" t="n">
        <v>-1500</v>
      </c>
      <c r="F12" s="41" t="n"/>
      <c r="G12" s="61" t="n"/>
    </row>
    <row r="13" ht="22" customHeight="1" s="124">
      <c r="B13" s="39" t="n">
        <v>46164</v>
      </c>
      <c r="C13" s="43" t="inlineStr">
        <is>
          <t>PIX Out</t>
        </is>
      </c>
      <c r="D13" s="40" t="inlineStr">
        <is>
          <t>Lucas Rique Chaves Bezerra</t>
        </is>
      </c>
      <c r="E13" s="41" t="n">
        <v>-500</v>
      </c>
      <c r="F13" s="41" t="n"/>
      <c r="G13" s="61" t="n"/>
    </row>
    <row r="14" ht="22" customHeight="1" s="124">
      <c r="B14" s="39" t="n">
        <v>46164</v>
      </c>
      <c r="C14" s="43" t="inlineStr">
        <is>
          <t>PIX Out</t>
        </is>
      </c>
      <c r="D14" s="40" t="inlineStr">
        <is>
          <t>Sbct Tech Solutions Llc</t>
        </is>
      </c>
      <c r="E14" s="41" t="n">
        <v>-45000</v>
      </c>
      <c r="F14" s="41" t="n"/>
      <c r="G14" s="61" t="n"/>
    </row>
    <row r="15" ht="22" customHeight="1" s="124">
      <c r="B15" s="31" t="n">
        <v>46160</v>
      </c>
      <c r="C15" s="35" t="inlineStr">
        <is>
          <t>PIX In</t>
        </is>
      </c>
      <c r="D15" s="32" t="inlineStr">
        <is>
          <t>Eduardo F Giovannini</t>
        </is>
      </c>
      <c r="E15" s="76" t="n">
        <v>35000</v>
      </c>
      <c r="F15" s="33" t="n"/>
      <c r="G15" s="64" t="n"/>
    </row>
    <row r="16" ht="22" customHeight="1" s="124">
      <c r="B16" s="39" t="n">
        <v>46160</v>
      </c>
      <c r="C16" s="43" t="inlineStr">
        <is>
          <t>PIX Out</t>
        </is>
      </c>
      <c r="D16" s="40" t="inlineStr">
        <is>
          <t>Eduardo Giovannini</t>
        </is>
      </c>
      <c r="E16" s="41" t="n">
        <v>-20000</v>
      </c>
      <c r="F16" s="41" t="n"/>
      <c r="G16" s="61" t="n"/>
    </row>
    <row r="17" ht="22" customHeight="1" s="124">
      <c r="B17" s="39" t="n">
        <v>46157</v>
      </c>
      <c r="C17" s="43" t="inlineStr">
        <is>
          <t>PIX Out</t>
        </is>
      </c>
      <c r="D17" s="40" t="inlineStr">
        <is>
          <t>Wise Brasil Corretora De Cambio Ltda</t>
        </is>
      </c>
      <c r="E17" s="41" t="n">
        <v>-1299.97</v>
      </c>
      <c r="F17" s="41" t="n"/>
      <c r="G17" s="61" t="n"/>
    </row>
    <row r="18" ht="22" customHeight="1" s="124">
      <c r="B18" s="31" t="n">
        <v>46153</v>
      </c>
      <c r="C18" s="35" t="inlineStr">
        <is>
          <t>PIX In</t>
        </is>
      </c>
      <c r="D18" s="32" t="inlineStr">
        <is>
          <t>Eduardo F Giovannini</t>
        </is>
      </c>
      <c r="E18" s="76" t="n">
        <v>40000</v>
      </c>
      <c r="F18" s="33" t="n"/>
      <c r="G18" s="64" t="n"/>
    </row>
    <row r="19" ht="22" customHeight="1" s="124">
      <c r="B19" s="22" t="n">
        <v>46153</v>
      </c>
      <c r="C19" s="26" t="inlineStr">
        <is>
          <t>Câmbio</t>
        </is>
      </c>
      <c r="D19" s="23" t="inlineStr">
        <is>
          <t>Envio - remessa internacional</t>
        </is>
      </c>
      <c r="E19" s="24" t="n"/>
      <c r="F19" s="24" t="n">
        <v>-74340.39999999999</v>
      </c>
      <c r="G19" s="67" t="n"/>
    </row>
    <row r="20" ht="22" customHeight="1" s="124">
      <c r="B20" s="77" t="n">
        <v>46153</v>
      </c>
      <c r="C20" s="78" t="inlineStr">
        <is>
          <t>IOF</t>
        </is>
      </c>
      <c r="D20" s="79" t="inlineStr">
        <is>
          <t>IOF - Operação de câmbio</t>
        </is>
      </c>
      <c r="E20" s="80" t="n"/>
      <c r="F20" s="80" t="n"/>
      <c r="G20" s="81" t="n">
        <v>-2601.91</v>
      </c>
    </row>
    <row r="21" ht="22" customHeight="1" s="124">
      <c r="B21" s="31" t="n">
        <v>46150</v>
      </c>
      <c r="C21" s="35" t="inlineStr">
        <is>
          <t>PIX In</t>
        </is>
      </c>
      <c r="D21" s="32" t="inlineStr">
        <is>
          <t>Eduardo F Giovannini</t>
        </is>
      </c>
      <c r="E21" s="76" t="n">
        <v>40000</v>
      </c>
      <c r="F21" s="33" t="n"/>
      <c r="G21" s="64" t="n"/>
    </row>
    <row r="22" ht="22" customHeight="1" s="124">
      <c r="B22" s="22" t="n">
        <v>46149</v>
      </c>
      <c r="C22" s="26" t="inlineStr">
        <is>
          <t>Câmbio</t>
        </is>
      </c>
      <c r="D22" s="23" t="inlineStr">
        <is>
          <t>Envio - remessa internacional</t>
        </is>
      </c>
      <c r="E22" s="24" t="n"/>
      <c r="F22" s="24" t="n">
        <v>-24939.84</v>
      </c>
      <c r="G22" s="67" t="n"/>
    </row>
    <row r="23" ht="22" customHeight="1" s="124">
      <c r="B23" s="77" t="n">
        <v>46149</v>
      </c>
      <c r="C23" s="78" t="inlineStr">
        <is>
          <t>IOF</t>
        </is>
      </c>
      <c r="D23" s="79" t="inlineStr">
        <is>
          <t>IOF - Operação de câmbio</t>
        </is>
      </c>
      <c r="E23" s="80" t="n"/>
      <c r="F23" s="80" t="n"/>
      <c r="G23" s="81" t="n">
        <v>-872.89</v>
      </c>
    </row>
    <row r="24" ht="22" customHeight="1" s="124">
      <c r="B24" s="31" t="n">
        <v>46140</v>
      </c>
      <c r="C24" s="35" t="inlineStr">
        <is>
          <t>PIX In</t>
        </is>
      </c>
      <c r="D24" s="32" t="inlineStr">
        <is>
          <t>Eduardo F Giovannini</t>
        </is>
      </c>
      <c r="E24" s="76" t="n">
        <v>40000</v>
      </c>
      <c r="F24" s="33" t="n"/>
      <c r="G24" s="64" t="n"/>
    </row>
    <row r="25" ht="22" customHeight="1" s="124">
      <c r="B25" s="39" t="n">
        <v>46140</v>
      </c>
      <c r="C25" s="43" t="inlineStr">
        <is>
          <t>PIX Out</t>
        </is>
      </c>
      <c r="D25" s="40" t="inlineStr">
        <is>
          <t>Gloria Raquel M C Nobrega</t>
        </is>
      </c>
      <c r="E25" s="41" t="n">
        <v>-50</v>
      </c>
      <c r="F25" s="41" t="n"/>
      <c r="G25" s="61" t="n"/>
    </row>
    <row r="26" ht="22" customHeight="1" s="124">
      <c r="B26" s="39" t="n">
        <v>46140</v>
      </c>
      <c r="C26" s="43" t="inlineStr">
        <is>
          <t>PIX Out</t>
        </is>
      </c>
      <c r="D26" s="40" t="inlineStr">
        <is>
          <t>Mag Administracao De Negocios Ltda</t>
        </is>
      </c>
      <c r="E26" s="41" t="n">
        <v>-10</v>
      </c>
      <c r="F26" s="41" t="n"/>
      <c r="G26" s="61" t="n"/>
    </row>
    <row r="27" ht="22" customHeight="1" s="124">
      <c r="B27" s="39" t="n">
        <v>46140</v>
      </c>
      <c r="C27" s="43" t="inlineStr">
        <is>
          <t>PIX Out</t>
        </is>
      </c>
      <c r="D27" s="40" t="inlineStr">
        <is>
          <t>Eduardo Silva Dos Santos</t>
        </is>
      </c>
      <c r="E27" s="41" t="n">
        <v>-470</v>
      </c>
      <c r="F27" s="41" t="n"/>
      <c r="G27" s="61" t="n"/>
    </row>
    <row r="28" ht="22" customHeight="1" s="124">
      <c r="B28" s="39" t="n">
        <v>46136</v>
      </c>
      <c r="C28" s="43" t="inlineStr">
        <is>
          <t>PIX Out</t>
        </is>
      </c>
      <c r="D28" s="40" t="inlineStr">
        <is>
          <t>37202818 Jose Periclis De Sousa Da Costa</t>
        </is>
      </c>
      <c r="E28" s="41" t="n">
        <v>-6800</v>
      </c>
      <c r="F28" s="41" t="n"/>
      <c r="G28" s="61" t="n"/>
    </row>
    <row r="29" ht="22" customHeight="1" s="124">
      <c r="B29" s="39" t="n">
        <v>46133</v>
      </c>
      <c r="C29" s="43" t="inlineStr">
        <is>
          <t>PIX Out</t>
        </is>
      </c>
      <c r="D29" s="40" t="inlineStr">
        <is>
          <t>Eduardo Forster Giovannini</t>
        </is>
      </c>
      <c r="E29" s="41" t="n">
        <v>-3000</v>
      </c>
      <c r="F29" s="41" t="n"/>
      <c r="G29" s="61" t="n"/>
    </row>
    <row r="30" ht="22" customHeight="1" s="124">
      <c r="B30" s="39" t="n">
        <v>46101</v>
      </c>
      <c r="C30" s="43" t="inlineStr">
        <is>
          <t>PIX Out</t>
        </is>
      </c>
      <c r="D30" s="40" t="inlineStr">
        <is>
          <t>Eduardo Silva Dos Santos</t>
        </is>
      </c>
      <c r="E30" s="41" t="n">
        <v>-350</v>
      </c>
      <c r="F30" s="41" t="n"/>
      <c r="G30" s="61" t="n"/>
    </row>
    <row r="31" ht="22" customHeight="1" s="124">
      <c r="B31" s="39" t="n">
        <v>46098</v>
      </c>
      <c r="C31" s="43" t="inlineStr">
        <is>
          <t>PIX Out</t>
        </is>
      </c>
      <c r="D31" s="40" t="inlineStr">
        <is>
          <t>Iago Kevyn Santos Moura</t>
        </is>
      </c>
      <c r="E31" s="41" t="n">
        <v>-500</v>
      </c>
      <c r="F31" s="41" t="n"/>
      <c r="G31" s="61" t="n"/>
    </row>
    <row r="32" ht="22" customHeight="1" s="124">
      <c r="B32" s="39" t="n">
        <v>46096</v>
      </c>
      <c r="C32" s="43" t="inlineStr">
        <is>
          <t>PIX Out</t>
        </is>
      </c>
      <c r="D32" s="40" t="inlineStr">
        <is>
          <t>Eduardo Forster Giovannini</t>
        </is>
      </c>
      <c r="E32" s="41" t="n">
        <v>-6000</v>
      </c>
      <c r="F32" s="41" t="n"/>
      <c r="G32" s="61" t="n"/>
    </row>
    <row r="33" ht="22" customHeight="1" s="124">
      <c r="B33" s="39" t="n">
        <v>46096</v>
      </c>
      <c r="C33" s="43" t="inlineStr">
        <is>
          <t>PIX Out</t>
        </is>
      </c>
      <c r="D33" s="40" t="inlineStr">
        <is>
          <t>Mercado Pago Instituicao De Pagamento Ltda</t>
        </is>
      </c>
      <c r="E33" s="41" t="n">
        <v>-4582.41</v>
      </c>
      <c r="F33" s="41" t="n"/>
      <c r="G33" s="61" t="n"/>
    </row>
    <row r="34" ht="22" customHeight="1" s="124">
      <c r="B34" s="31" t="n">
        <v>46064</v>
      </c>
      <c r="C34" s="35" t="inlineStr">
        <is>
          <t>PIX In</t>
        </is>
      </c>
      <c r="D34" s="32" t="inlineStr">
        <is>
          <t>Eduardo F Giovannini</t>
        </is>
      </c>
      <c r="E34" s="76" t="n">
        <v>40000</v>
      </c>
      <c r="F34" s="33" t="n"/>
      <c r="G34" s="64" t="n"/>
    </row>
    <row r="36" ht="26" customHeight="1" s="124">
      <c r="B36" s="55" t="inlineStr">
        <is>
          <t>NET PIX FLOW</t>
        </is>
      </c>
      <c r="E36" s="56">
        <f>SUM(E5:E35)</f>
        <v/>
      </c>
    </row>
    <row r="37" ht="26" customHeight="1" s="124">
      <c r="B37" s="82" t="inlineStr">
        <is>
          <t>TOTAL CÂMBIO OUT</t>
        </is>
      </c>
      <c r="F37" s="58">
        <f>SUM(F5:F35)</f>
        <v/>
      </c>
    </row>
    <row r="38" ht="26" customHeight="1" s="124">
      <c r="B38" s="1" t="inlineStr">
        <is>
          <t>TOTAL IOF PAID</t>
        </is>
      </c>
      <c r="G38" s="83">
        <f>SUM(G5:G35)</f>
        <v/>
      </c>
    </row>
    <row r="40">
      <c r="B40" t="inlineStr">
        <is>
          <t>SOMA MOVIMENTOS (PIX+Câmbio+IOF)</t>
        </is>
      </c>
      <c r="E40">
        <f>E36+F37+G38</f>
        <v/>
      </c>
    </row>
    <row r="41">
      <c r="B41" t="inlineStr">
        <is>
          <t>RESÍDUO vs Saldo Final (F3) — deve ~0</t>
        </is>
      </c>
      <c r="E41">
        <f>E40-F3</f>
        <v/>
      </c>
    </row>
    <row r="42">
      <c r="B42" t="inlineStr">
        <is>
          <t>ⓘ Movimentos explicam o saldo até R$20,01. C3 (R$122K) é narrativa do README, não reconciliada aqui.</t>
        </is>
      </c>
    </row>
  </sheetData>
  <mergeCells count="2">
    <mergeCell ref="B2:G2"/>
    <mergeCell ref="B1:G1"/>
  </mergeCells>
  <dataValidations count="1">
    <dataValidation sqref="C5 C6 C7 C8 C9 C10 C11 C12 C13 C14 C15 C16 C17 C18 C19 C20 C21 C22 C23 C24 C25 C26 C27 C28 C29 C30 C31 C32 C33 C34" showDropDown="0" showInputMessage="0" showErrorMessage="0" allowBlank="1" type="list">
      <formula1>"PIX In,PIX Out,Câmbio,IOF,Other"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4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14" customWidth="1" style="124" min="2" max="2"/>
    <col width="22" customWidth="1" style="124" min="3" max="3"/>
    <col width="32" customWidth="1" style="124" min="4" max="4"/>
    <col width="14" customWidth="1" style="124" min="5" max="5"/>
    <col width="18" customWidth="1" style="124" min="6" max="6"/>
    <col width="12" customWidth="1" style="124" min="7" max="7"/>
    <col width="16" customWidth="1" style="124" min="8" max="8"/>
    <col width="14" customWidth="1" style="124" min="9" max="9"/>
    <col width="30" customWidth="1" style="124" min="10" max="10"/>
  </cols>
  <sheetData>
    <row r="1" ht="36" customHeight="1" s="124">
      <c r="B1" s="126" t="inlineStr">
        <is>
          <t>🌍  International — BCB Câmbio 2026  (32 operations)</t>
        </is>
      </c>
    </row>
    <row r="2" ht="22" customHeight="1" s="124">
      <c r="B2" s="123" t="inlineStr">
        <is>
          <t>Source: Cambio-21596563800-202606-29062026.pdf · Período 01/01/2026–28/06/2026 · Self-transfers + IB + Funds + Inbound</t>
        </is>
      </c>
    </row>
    <row r="3" ht="26" customHeight="1" s="124">
      <c r="B3" s="4" t="inlineStr">
        <is>
          <t>Date</t>
        </is>
      </c>
      <c r="C3" s="4" t="inlineStr">
        <is>
          <t>Institution</t>
        </is>
      </c>
      <c r="D3" s="4" t="inlineStr">
        <is>
          <t>Destination / Counterpart</t>
        </is>
      </c>
      <c r="E3" s="4" t="inlineStr">
        <is>
          <t>FCY Amt</t>
        </is>
      </c>
      <c r="F3" s="4" t="inlineStr">
        <is>
          <t>BRL Amount</t>
        </is>
      </c>
      <c r="G3" s="4" t="inlineStr">
        <is>
          <t>CCY</t>
        </is>
      </c>
      <c r="H3" s="4" t="inlineStr">
        <is>
          <t>Direction</t>
        </is>
      </c>
      <c r="I3" s="4" t="inlineStr">
        <is>
          <t>FX Rate</t>
        </is>
      </c>
      <c r="J3" s="4" t="inlineStr">
        <is>
          <t>Nature</t>
        </is>
      </c>
    </row>
    <row r="4" ht="22" customHeight="1" s="124">
      <c r="B4" s="39" t="n">
        <v>46048</v>
      </c>
      <c r="C4" s="40" t="inlineStr">
        <is>
          <t>Banco Topázio</t>
        </is>
      </c>
      <c r="D4" s="40" t="inlineStr">
        <is>
          <t>Interactive Brokers</t>
        </is>
      </c>
      <c r="E4" s="84" t="n">
        <v>200</v>
      </c>
      <c r="F4" s="41" t="n">
        <v>1071.22</v>
      </c>
      <c r="G4" s="38" t="inlineStr">
        <is>
          <t>USD</t>
        </is>
      </c>
      <c r="H4" s="38" t="inlineStr">
        <is>
          <t>IB Deposit</t>
        </is>
      </c>
      <c r="I4" s="85" t="n">
        <v>5.3561</v>
      </c>
      <c r="J4" s="60" t="inlineStr">
        <is>
          <t>91992 IB deposit</t>
        </is>
      </c>
    </row>
    <row r="5" ht="22" customHeight="1" s="124">
      <c r="B5" s="39" t="n">
        <v>46049</v>
      </c>
      <c r="C5" s="40" t="inlineStr">
        <is>
          <t>BB Brasil</t>
        </is>
      </c>
      <c r="D5" s="40" t="inlineStr">
        <is>
          <t>USA - Own Account</t>
        </is>
      </c>
      <c r="E5" s="84" t="n">
        <v>3000</v>
      </c>
      <c r="F5" s="41" t="n">
        <v>15886.01</v>
      </c>
      <c r="G5" s="38" t="inlineStr">
        <is>
          <t>USD</t>
        </is>
      </c>
      <c r="H5" s="38" t="inlineStr">
        <is>
          <t>Outbound</t>
        </is>
      </c>
      <c r="I5" s="85" t="n">
        <v>5.2953</v>
      </c>
      <c r="J5" s="60" t="inlineStr">
        <is>
          <t>67995 Self-transfer</t>
        </is>
      </c>
    </row>
    <row r="6" ht="22" customHeight="1" s="124">
      <c r="B6" s="39" t="n">
        <v>46052</v>
      </c>
      <c r="C6" s="40" t="inlineStr">
        <is>
          <t>BB Brasil</t>
        </is>
      </c>
      <c r="D6" s="40" t="inlineStr">
        <is>
          <t>USA - Own Account</t>
        </is>
      </c>
      <c r="E6" s="84" t="n">
        <v>3000</v>
      </c>
      <c r="F6" s="41" t="n">
        <v>16063.89</v>
      </c>
      <c r="G6" s="38" t="inlineStr">
        <is>
          <t>USD</t>
        </is>
      </c>
      <c r="H6" s="38" t="inlineStr">
        <is>
          <t>Outbound</t>
        </is>
      </c>
      <c r="I6" s="85" t="n">
        <v>5.3546</v>
      </c>
      <c r="J6" s="60" t="inlineStr">
        <is>
          <t>67995 Self-transfer</t>
        </is>
      </c>
    </row>
    <row r="7" ht="22" customHeight="1" s="124">
      <c r="B7" s="39" t="n">
        <v>46062</v>
      </c>
      <c r="C7" s="40" t="inlineStr">
        <is>
          <t>BB Brasil</t>
        </is>
      </c>
      <c r="D7" s="40" t="inlineStr">
        <is>
          <t>USA - Own Account</t>
        </is>
      </c>
      <c r="E7" s="84" t="n">
        <v>3000</v>
      </c>
      <c r="F7" s="41" t="n">
        <v>15868.79</v>
      </c>
      <c r="G7" s="38" t="inlineStr">
        <is>
          <t>USD</t>
        </is>
      </c>
      <c r="H7" s="38" t="inlineStr">
        <is>
          <t>Outbound</t>
        </is>
      </c>
      <c r="I7" s="85" t="n">
        <v>5.2896</v>
      </c>
      <c r="J7" s="60" t="inlineStr">
        <is>
          <t>67995 Self-transfer</t>
        </is>
      </c>
    </row>
    <row r="8" ht="22" customHeight="1" s="124">
      <c r="B8" s="39" t="n">
        <v>46064</v>
      </c>
      <c r="C8" s="40" t="inlineStr">
        <is>
          <t>BB Brasil</t>
        </is>
      </c>
      <c r="D8" s="40" t="inlineStr">
        <is>
          <t>USA - Own Account</t>
        </is>
      </c>
      <c r="E8" s="84" t="n">
        <v>3000</v>
      </c>
      <c r="F8" s="41" t="n">
        <v>15789.96</v>
      </c>
      <c r="G8" s="38" t="inlineStr">
        <is>
          <t>USD</t>
        </is>
      </c>
      <c r="H8" s="38" t="inlineStr">
        <is>
          <t>Outbound</t>
        </is>
      </c>
      <c r="I8" s="85" t="n">
        <v>5.2633</v>
      </c>
      <c r="J8" s="60" t="inlineStr">
        <is>
          <t>67995 Self-transfer</t>
        </is>
      </c>
    </row>
    <row r="9" ht="22" customHeight="1" s="124">
      <c r="B9" s="39" t="n">
        <v>46084</v>
      </c>
      <c r="C9" s="40" t="inlineStr">
        <is>
          <t>BB Brasil</t>
        </is>
      </c>
      <c r="D9" s="40" t="inlineStr">
        <is>
          <t>USA - Own Account</t>
        </is>
      </c>
      <c r="E9" s="84" t="n">
        <v>3000</v>
      </c>
      <c r="F9" s="41" t="n">
        <v>16024.35</v>
      </c>
      <c r="G9" s="38" t="inlineStr">
        <is>
          <t>USD</t>
        </is>
      </c>
      <c r="H9" s="38" t="inlineStr">
        <is>
          <t>Outbound</t>
        </is>
      </c>
      <c r="I9" s="85" t="n">
        <v>5.3414</v>
      </c>
      <c r="J9" s="60" t="inlineStr">
        <is>
          <t>67995 Self-transfer</t>
        </is>
      </c>
    </row>
    <row r="10" ht="22" customHeight="1" s="124">
      <c r="B10" s="39" t="n">
        <v>46094</v>
      </c>
      <c r="C10" s="40" t="inlineStr">
        <is>
          <t>BB Brasil</t>
        </is>
      </c>
      <c r="D10" s="40" t="inlineStr">
        <is>
          <t>USA - Own Account</t>
        </is>
      </c>
      <c r="E10" s="84" t="n">
        <v>3000</v>
      </c>
      <c r="F10" s="41" t="n">
        <v>15877.18</v>
      </c>
      <c r="G10" s="38" t="inlineStr">
        <is>
          <t>USD</t>
        </is>
      </c>
      <c r="H10" s="38" t="inlineStr">
        <is>
          <t>Outbound</t>
        </is>
      </c>
      <c r="I10" s="85" t="n">
        <v>5.2924</v>
      </c>
      <c r="J10" s="60" t="inlineStr">
        <is>
          <t>67995 Self-transfer</t>
        </is>
      </c>
    </row>
    <row r="11" ht="22" customHeight="1" s="124">
      <c r="B11" s="39" t="n">
        <v>46099</v>
      </c>
      <c r="C11" s="40" t="inlineStr">
        <is>
          <t>BB Brasil</t>
        </is>
      </c>
      <c r="D11" s="40" t="inlineStr">
        <is>
          <t>USA - Own Account</t>
        </is>
      </c>
      <c r="E11" s="84" t="n">
        <v>3000</v>
      </c>
      <c r="F11" s="41" t="n">
        <v>15963.15</v>
      </c>
      <c r="G11" s="38" t="inlineStr">
        <is>
          <t>USD</t>
        </is>
      </c>
      <c r="H11" s="38" t="inlineStr">
        <is>
          <t>Outbound</t>
        </is>
      </c>
      <c r="I11" s="85" t="n">
        <v>5.3211</v>
      </c>
      <c r="J11" s="60" t="inlineStr">
        <is>
          <t>67995 Self-transfer</t>
        </is>
      </c>
    </row>
    <row r="12" ht="22" customHeight="1" s="124">
      <c r="B12" s="39" t="n">
        <v>46134</v>
      </c>
      <c r="C12" s="40" t="inlineStr">
        <is>
          <t>BB Brasil</t>
        </is>
      </c>
      <c r="D12" s="40" t="inlineStr">
        <is>
          <t>USA - Own Account</t>
        </is>
      </c>
      <c r="E12" s="84" t="n">
        <v>3000</v>
      </c>
      <c r="F12" s="41" t="n">
        <v>15878.08</v>
      </c>
      <c r="G12" s="38" t="inlineStr">
        <is>
          <t>USD</t>
        </is>
      </c>
      <c r="H12" s="38" t="inlineStr">
        <is>
          <t>Outbound</t>
        </is>
      </c>
      <c r="I12" s="85" t="n">
        <v>5.2927</v>
      </c>
      <c r="J12" s="60" t="inlineStr">
        <is>
          <t>67995 Self-transfer</t>
        </is>
      </c>
    </row>
    <row r="13" ht="22" customHeight="1" s="124">
      <c r="B13" s="39" t="n">
        <v>46142</v>
      </c>
      <c r="C13" s="40" t="inlineStr">
        <is>
          <t>Banco Topázio</t>
        </is>
      </c>
      <c r="D13" s="40" t="inlineStr">
        <is>
          <t>Interactive Brokers</t>
        </is>
      </c>
      <c r="E13" s="84" t="n">
        <v>100</v>
      </c>
      <c r="F13" s="41" t="n">
        <v>503.62</v>
      </c>
      <c r="G13" s="38" t="inlineStr">
        <is>
          <t>USD</t>
        </is>
      </c>
      <c r="H13" s="38" t="inlineStr">
        <is>
          <t>IB Deposit</t>
        </is>
      </c>
      <c r="I13" s="85" t="n">
        <v>5.0362</v>
      </c>
      <c r="J13" s="60" t="inlineStr">
        <is>
          <t>91992 IB deposit</t>
        </is>
      </c>
    </row>
    <row r="14" ht="22" customHeight="1" s="124">
      <c r="B14" s="39" t="n">
        <v>46149</v>
      </c>
      <c r="C14" s="40" t="inlineStr">
        <is>
          <t>BB Brasil</t>
        </is>
      </c>
      <c r="D14" s="40" t="inlineStr">
        <is>
          <t>USA - Own Account</t>
        </is>
      </c>
      <c r="E14" s="84" t="n">
        <v>3000</v>
      </c>
      <c r="F14" s="41" t="n">
        <v>15132.89</v>
      </c>
      <c r="G14" s="38" t="inlineStr">
        <is>
          <t>USD</t>
        </is>
      </c>
      <c r="H14" s="38" t="inlineStr">
        <is>
          <t>Outbound</t>
        </is>
      </c>
      <c r="I14" s="85" t="n">
        <v>5.0443</v>
      </c>
      <c r="J14" s="60" t="inlineStr">
        <is>
          <t>67995 Self-transfer</t>
        </is>
      </c>
    </row>
    <row r="15" ht="22" customHeight="1" s="124">
      <c r="B15" s="39" t="n">
        <v>46149</v>
      </c>
      <c r="C15" s="40" t="inlineStr">
        <is>
          <t>Banco Inter</t>
        </is>
      </c>
      <c r="D15" s="40" t="inlineStr">
        <is>
          <t>USA - Own Account</t>
        </is>
      </c>
      <c r="E15" s="84" t="n">
        <v>5000</v>
      </c>
      <c r="F15" s="41" t="n">
        <v>24939.84</v>
      </c>
      <c r="G15" s="38" t="inlineStr">
        <is>
          <t>USD</t>
        </is>
      </c>
      <c r="H15" s="38" t="inlineStr">
        <is>
          <t>Outbound</t>
        </is>
      </c>
      <c r="I15" s="85" t="n">
        <v>4.988</v>
      </c>
      <c r="J15" s="60" t="inlineStr">
        <is>
          <t>67995 Self-transfer via Inter</t>
        </is>
      </c>
    </row>
    <row r="16" ht="22" customHeight="1" s="124">
      <c r="B16" s="39" t="n">
        <v>46153</v>
      </c>
      <c r="C16" s="40" t="inlineStr">
        <is>
          <t>Banco Inter</t>
        </is>
      </c>
      <c r="D16" s="40" t="inlineStr">
        <is>
          <t>USA - Own Account</t>
        </is>
      </c>
      <c r="E16" s="84" t="n">
        <v>15000</v>
      </c>
      <c r="F16" s="86" t="n">
        <v>74340.39999999999</v>
      </c>
      <c r="G16" s="38" t="inlineStr">
        <is>
          <t>USD</t>
        </is>
      </c>
      <c r="H16" s="38" t="inlineStr">
        <is>
          <t>Outbound</t>
        </is>
      </c>
      <c r="I16" s="85" t="n">
        <v>4.956</v>
      </c>
      <c r="J16" s="60" t="inlineStr">
        <is>
          <t>67995 Self-transfer via Inter</t>
        </is>
      </c>
    </row>
    <row r="17" ht="22" customHeight="1" s="124">
      <c r="B17" s="39" t="n">
        <v>46157</v>
      </c>
      <c r="C17" s="40" t="inlineStr">
        <is>
          <t>BB Brasil</t>
        </is>
      </c>
      <c r="D17" s="40" t="inlineStr">
        <is>
          <t>USA - Own Account</t>
        </is>
      </c>
      <c r="E17" s="84" t="n">
        <v>500</v>
      </c>
      <c r="F17" s="41" t="n">
        <v>2577.87</v>
      </c>
      <c r="G17" s="38" t="inlineStr">
        <is>
          <t>USD</t>
        </is>
      </c>
      <c r="H17" s="38" t="inlineStr">
        <is>
          <t>Outbound</t>
        </is>
      </c>
      <c r="I17" s="85" t="n">
        <v>5.1558</v>
      </c>
      <c r="J17" s="60" t="inlineStr">
        <is>
          <t>67995 Self-transfer</t>
        </is>
      </c>
    </row>
    <row r="18" ht="22" customHeight="1" s="124">
      <c r="B18" s="39" t="n">
        <v>46157</v>
      </c>
      <c r="C18" s="40" t="inlineStr">
        <is>
          <t>Wise Brasil</t>
        </is>
      </c>
      <c r="D18" s="40" t="inlineStr">
        <is>
          <t>UK - Eduardo Giovannini</t>
        </is>
      </c>
      <c r="E18" s="84" t="n">
        <v>250</v>
      </c>
      <c r="F18" s="41" t="n">
        <v>1246.27</v>
      </c>
      <c r="G18" s="38" t="inlineStr">
        <is>
          <t>USD</t>
        </is>
      </c>
      <c r="H18" s="38" t="inlineStr">
        <is>
          <t>Outbound</t>
        </is>
      </c>
      <c r="I18" s="85" t="n">
        <v>4.9851</v>
      </c>
      <c r="J18" s="60" t="inlineStr">
        <is>
          <t>67995 Wise UK</t>
        </is>
      </c>
    </row>
    <row r="19" ht="22" customHeight="1" s="124">
      <c r="B19" s="39" t="n">
        <v>46160</v>
      </c>
      <c r="C19" s="40" t="inlineStr">
        <is>
          <t>BB Brasil</t>
        </is>
      </c>
      <c r="D19" s="40" t="inlineStr">
        <is>
          <t>USA - Own Account</t>
        </is>
      </c>
      <c r="E19" s="84" t="n">
        <v>200</v>
      </c>
      <c r="F19" s="41" t="n">
        <v>1019.15</v>
      </c>
      <c r="G19" s="38" t="inlineStr">
        <is>
          <t>USD</t>
        </is>
      </c>
      <c r="H19" s="38" t="inlineStr">
        <is>
          <t>Outbound</t>
        </is>
      </c>
      <c r="I19" s="85" t="n">
        <v>5.0958</v>
      </c>
      <c r="J19" s="60" t="inlineStr">
        <is>
          <t>67995 Self-transfer</t>
        </is>
      </c>
    </row>
    <row r="20" ht="22" customHeight="1" s="124">
      <c r="B20" s="39" t="n">
        <v>46160</v>
      </c>
      <c r="C20" s="40" t="inlineStr">
        <is>
          <t>Wise Brasil</t>
        </is>
      </c>
      <c r="D20" s="40" t="inlineStr">
        <is>
          <t>Interactive Brokers</t>
        </is>
      </c>
      <c r="E20" s="84" t="n">
        <v>3834.82</v>
      </c>
      <c r="F20" s="41" t="n">
        <v>19195.81</v>
      </c>
      <c r="G20" s="38" t="inlineStr">
        <is>
          <t>USD</t>
        </is>
      </c>
      <c r="H20" s="38" t="inlineStr">
        <is>
          <t>IB Deposit</t>
        </is>
      </c>
      <c r="I20" s="85" t="n">
        <v>5.0056</v>
      </c>
      <c r="J20" s="60" t="inlineStr">
        <is>
          <t>91992 IB via Wise</t>
        </is>
      </c>
    </row>
    <row r="21" ht="22" customHeight="1" s="124">
      <c r="B21" s="39" t="n">
        <v>46161</v>
      </c>
      <c r="C21" s="40" t="inlineStr">
        <is>
          <t>Banco Topázio</t>
        </is>
      </c>
      <c r="D21" s="40" t="inlineStr">
        <is>
          <t>Interactive Brokers</t>
        </is>
      </c>
      <c r="E21" s="84" t="n">
        <v>1000</v>
      </c>
      <c r="F21" s="41" t="n">
        <v>5114.85</v>
      </c>
      <c r="G21" s="38" t="inlineStr">
        <is>
          <t>USD</t>
        </is>
      </c>
      <c r="H21" s="38" t="inlineStr">
        <is>
          <t>IB Deposit</t>
        </is>
      </c>
      <c r="I21" s="85" t="n">
        <v>5.1149</v>
      </c>
      <c r="J21" s="60" t="inlineStr">
        <is>
          <t>91992 IB deposit</t>
        </is>
      </c>
    </row>
    <row r="22" ht="22" customHeight="1" s="124">
      <c r="B22" s="39" t="n">
        <v>46162</v>
      </c>
      <c r="C22" s="40" t="inlineStr">
        <is>
          <t>Banco Topázio</t>
        </is>
      </c>
      <c r="D22" s="40" t="inlineStr">
        <is>
          <t>Interactive Brokers</t>
        </is>
      </c>
      <c r="E22" s="84" t="n">
        <v>6212.32</v>
      </c>
      <c r="F22" s="41" t="n">
        <v>31651.83</v>
      </c>
      <c r="G22" s="38" t="inlineStr">
        <is>
          <t>USD</t>
        </is>
      </c>
      <c r="H22" s="38" t="inlineStr">
        <is>
          <t>IB Deposit</t>
        </is>
      </c>
      <c r="I22" s="85" t="n">
        <v>5.0949</v>
      </c>
      <c r="J22" s="60" t="inlineStr">
        <is>
          <t>91992 IB deposit</t>
        </is>
      </c>
    </row>
    <row r="23" ht="22" customHeight="1" s="124">
      <c r="B23" s="39" t="n">
        <v>46164</v>
      </c>
      <c r="C23" s="40" t="inlineStr">
        <is>
          <t>Banco Topázio</t>
        </is>
      </c>
      <c r="D23" s="40" t="inlineStr">
        <is>
          <t>Fundos investimento BRL</t>
        </is>
      </c>
      <c r="E23" s="84" t="n"/>
      <c r="F23" s="41" t="n">
        <v>45000</v>
      </c>
      <c r="G23" s="38" t="inlineStr">
        <is>
          <t>BRL</t>
        </is>
      </c>
      <c r="H23" s="38" t="inlineStr">
        <is>
          <t>Fund Deposit</t>
        </is>
      </c>
      <c r="I23" s="85" t="n"/>
      <c r="J23" s="60" t="inlineStr">
        <is>
          <t>67043 Fund capital</t>
        </is>
      </c>
    </row>
    <row r="24" ht="22" customHeight="1" s="124">
      <c r="B24" s="39" t="n">
        <v>46168</v>
      </c>
      <c r="C24" s="40" t="inlineStr">
        <is>
          <t>BB Brasil</t>
        </is>
      </c>
      <c r="D24" s="40" t="inlineStr">
        <is>
          <t>USA - Own Account</t>
        </is>
      </c>
      <c r="E24" s="84" t="n">
        <v>10000</v>
      </c>
      <c r="F24" s="86" t="n">
        <v>51027.68</v>
      </c>
      <c r="G24" s="38" t="inlineStr">
        <is>
          <t>USD</t>
        </is>
      </c>
      <c r="H24" s="38" t="inlineStr">
        <is>
          <t>Outbound</t>
        </is>
      </c>
      <c r="I24" s="85" t="n">
        <v>5.1028</v>
      </c>
      <c r="J24" s="60" t="inlineStr">
        <is>
          <t>67995 Self-transfer</t>
        </is>
      </c>
    </row>
    <row r="25" ht="22" customHeight="1" s="124">
      <c r="B25" s="39" t="n">
        <v>46170</v>
      </c>
      <c r="C25" s="40" t="inlineStr">
        <is>
          <t>BB Brasil</t>
        </is>
      </c>
      <c r="D25" s="40" t="inlineStr">
        <is>
          <t>USA - Own Account</t>
        </is>
      </c>
      <c r="E25" s="84" t="n">
        <v>5000</v>
      </c>
      <c r="F25" s="41" t="n">
        <v>25650.76</v>
      </c>
      <c r="G25" s="38" t="inlineStr">
        <is>
          <t>USD</t>
        </is>
      </c>
      <c r="H25" s="38" t="inlineStr">
        <is>
          <t>Outbound</t>
        </is>
      </c>
      <c r="I25" s="85" t="n">
        <v>5.1302</v>
      </c>
      <c r="J25" s="60" t="inlineStr">
        <is>
          <t>67995 Self-transfer</t>
        </is>
      </c>
    </row>
    <row r="26" ht="22" customHeight="1" s="124">
      <c r="B26" s="39" t="n">
        <v>46170</v>
      </c>
      <c r="C26" s="40" t="inlineStr">
        <is>
          <t>Banco Topázio</t>
        </is>
      </c>
      <c r="D26" s="40" t="inlineStr">
        <is>
          <t>Interactive Brokers</t>
        </is>
      </c>
      <c r="E26" s="84" t="n">
        <v>20000</v>
      </c>
      <c r="F26" s="86" t="n">
        <v>101772.38</v>
      </c>
      <c r="G26" s="38" t="inlineStr">
        <is>
          <t>USD</t>
        </is>
      </c>
      <c r="H26" s="38" t="inlineStr">
        <is>
          <t>IB Deposit</t>
        </is>
      </c>
      <c r="I26" s="85" t="n">
        <v>5.0886</v>
      </c>
      <c r="J26" s="60" t="inlineStr">
        <is>
          <t>91992 IB deposit</t>
        </is>
      </c>
    </row>
    <row r="27" ht="22" customHeight="1" s="124">
      <c r="B27" s="39" t="n">
        <v>46178</v>
      </c>
      <c r="C27" s="40" t="inlineStr">
        <is>
          <t>Wise Brasil</t>
        </is>
      </c>
      <c r="D27" s="40" t="inlineStr">
        <is>
          <t>UK - Eduardo Giovannini</t>
        </is>
      </c>
      <c r="E27" s="84" t="n">
        <v>100</v>
      </c>
      <c r="F27" s="41" t="n">
        <v>514.21</v>
      </c>
      <c r="G27" s="38" t="inlineStr">
        <is>
          <t>USD</t>
        </is>
      </c>
      <c r="H27" s="38" t="inlineStr">
        <is>
          <t>Outbound</t>
        </is>
      </c>
      <c r="I27" s="85" t="n">
        <v>5.1421</v>
      </c>
      <c r="J27" s="60" t="inlineStr">
        <is>
          <t>67995 Wise UK</t>
        </is>
      </c>
    </row>
    <row r="28" ht="22" customHeight="1" s="124">
      <c r="B28" s="39" t="n">
        <v>46178</v>
      </c>
      <c r="C28" s="40" t="inlineStr">
        <is>
          <t>Banco Topázio</t>
        </is>
      </c>
      <c r="D28" s="40" t="inlineStr">
        <is>
          <t>Fundos investimento BRL</t>
        </is>
      </c>
      <c r="E28" s="84" t="n"/>
      <c r="F28" s="86" t="n">
        <v>78323.92</v>
      </c>
      <c r="G28" s="38" t="inlineStr">
        <is>
          <t>BRL</t>
        </is>
      </c>
      <c r="H28" s="38" t="inlineStr">
        <is>
          <t>Fund Deposit</t>
        </is>
      </c>
      <c r="I28" s="85" t="n"/>
      <c r="J28" s="60" t="inlineStr">
        <is>
          <t>67043 Fund capital</t>
        </is>
      </c>
    </row>
    <row r="29" ht="22" customHeight="1" s="124">
      <c r="B29" s="31" t="n">
        <v>46178</v>
      </c>
      <c r="C29" s="32" t="inlineStr">
        <is>
          <t>BB Brasil</t>
        </is>
      </c>
      <c r="D29" s="32" t="inlineStr">
        <is>
          <t>USA → Eduardo Forster Giovannini</t>
        </is>
      </c>
      <c r="E29" s="87" t="n"/>
      <c r="F29" s="88" t="n">
        <v>73857</v>
      </c>
      <c r="G29" s="30" t="inlineStr">
        <is>
          <t>BRL</t>
        </is>
      </c>
      <c r="H29" s="30" t="inlineStr">
        <is>
          <t>Inbound</t>
        </is>
      </c>
      <c r="I29" s="89" t="n"/>
      <c r="J29" s="63" t="inlineStr">
        <is>
          <t>72629 Inbound from USA</t>
        </is>
      </c>
    </row>
    <row r="30" ht="22" customHeight="1" s="124">
      <c r="B30" s="31" t="n">
        <v>46189</v>
      </c>
      <c r="C30" s="32" t="inlineStr">
        <is>
          <t>Ouribank</t>
        </is>
      </c>
      <c r="D30" s="32" t="inlineStr">
        <is>
          <t>Inbound payment order</t>
        </is>
      </c>
      <c r="E30" s="87" t="n"/>
      <c r="F30" s="76" t="n">
        <v>25000</v>
      </c>
      <c r="G30" s="30" t="inlineStr">
        <is>
          <t>BRL</t>
        </is>
      </c>
      <c r="H30" s="30" t="inlineStr">
        <is>
          <t>Inbound</t>
        </is>
      </c>
      <c r="I30" s="89" t="n"/>
      <c r="J30" s="63" t="inlineStr">
        <is>
          <t>72629 Inbound payment order</t>
        </is>
      </c>
    </row>
    <row r="31" ht="22" customHeight="1" s="124">
      <c r="B31" s="39" t="n">
        <v>46192</v>
      </c>
      <c r="C31" s="40" t="inlineStr">
        <is>
          <t>Banco Topázio</t>
        </is>
      </c>
      <c r="D31" s="40" t="inlineStr">
        <is>
          <t>Fundos investimento BRL</t>
        </is>
      </c>
      <c r="E31" s="84" t="n"/>
      <c r="F31" s="86" t="n">
        <v>52441.91</v>
      </c>
      <c r="G31" s="38" t="inlineStr">
        <is>
          <t>BRL</t>
        </is>
      </c>
      <c r="H31" s="38" t="inlineStr">
        <is>
          <t>Fund Deposit</t>
        </is>
      </c>
      <c r="I31" s="85" t="n"/>
      <c r="J31" s="60" t="inlineStr">
        <is>
          <t>67043 Fund capital</t>
        </is>
      </c>
    </row>
    <row r="32" ht="22" customHeight="1" s="124">
      <c r="B32" s="39" t="n">
        <v>46195</v>
      </c>
      <c r="C32" s="40" t="inlineStr">
        <is>
          <t>BB Brasil</t>
        </is>
      </c>
      <c r="D32" s="40" t="inlineStr">
        <is>
          <t>USA - Own Account</t>
        </is>
      </c>
      <c r="E32" s="84" t="n">
        <v>46229.38</v>
      </c>
      <c r="F32" s="86" t="n">
        <v>241545.87</v>
      </c>
      <c r="G32" s="38" t="inlineStr">
        <is>
          <t>USD</t>
        </is>
      </c>
      <c r="H32" s="38" t="inlineStr">
        <is>
          <t>Outbound</t>
        </is>
      </c>
      <c r="I32" s="85" t="n">
        <v>5.2245</v>
      </c>
      <c r="J32" s="60" t="inlineStr">
        <is>
          <t>67995 Self-transfer</t>
        </is>
      </c>
    </row>
    <row r="33" ht="22" customHeight="1" s="124">
      <c r="B33" s="39" t="n">
        <v>46195</v>
      </c>
      <c r="C33" s="40" t="inlineStr">
        <is>
          <t>Wise Brasil</t>
        </is>
      </c>
      <c r="D33" s="40" t="inlineStr">
        <is>
          <t>UK - Eduardo Giovannini</t>
        </is>
      </c>
      <c r="E33" s="84" t="n">
        <v>17000</v>
      </c>
      <c r="F33" s="86" t="n">
        <v>87442.25999999999</v>
      </c>
      <c r="G33" s="38" t="inlineStr">
        <is>
          <t>USD</t>
        </is>
      </c>
      <c r="H33" s="38" t="inlineStr">
        <is>
          <t>Outbound</t>
        </is>
      </c>
      <c r="I33" s="85" t="n">
        <v>5.1436</v>
      </c>
      <c r="J33" s="60" t="inlineStr">
        <is>
          <t>67995 Wise UK</t>
        </is>
      </c>
    </row>
    <row r="34" ht="22" customHeight="1" s="124">
      <c r="B34" s="39" t="n">
        <v>46195</v>
      </c>
      <c r="C34" s="40" t="inlineStr">
        <is>
          <t>Wise Brasil</t>
        </is>
      </c>
      <c r="D34" s="40" t="inlineStr">
        <is>
          <t>Interactive Brokers</t>
        </is>
      </c>
      <c r="E34" s="84" t="n">
        <v>7454.1</v>
      </c>
      <c r="F34" s="41" t="n">
        <v>38396.86</v>
      </c>
      <c r="G34" s="38" t="inlineStr">
        <is>
          <t>USD</t>
        </is>
      </c>
      <c r="H34" s="38" t="inlineStr">
        <is>
          <t>IB Deposit</t>
        </is>
      </c>
      <c r="I34" s="85" t="n">
        <v>5.151</v>
      </c>
      <c r="J34" s="60" t="inlineStr">
        <is>
          <t>91992 IB via Wise</t>
        </is>
      </c>
    </row>
    <row r="35" ht="22" customHeight="1" s="124">
      <c r="B35" s="39" t="n">
        <v>46199</v>
      </c>
      <c r="C35" s="40" t="inlineStr">
        <is>
          <t>Wise Brasil</t>
        </is>
      </c>
      <c r="D35" s="40" t="inlineStr">
        <is>
          <t>Interactive Brokers</t>
        </is>
      </c>
      <c r="E35" s="84" t="n">
        <v>3834.82</v>
      </c>
      <c r="F35" s="41" t="n">
        <v>19195.81</v>
      </c>
      <c r="G35" s="38" t="inlineStr">
        <is>
          <t>USD</t>
        </is>
      </c>
      <c r="H35" s="38" t="inlineStr">
        <is>
          <t>IB Withdraw</t>
        </is>
      </c>
      <c r="I35" s="85" t="n">
        <v>5.1783</v>
      </c>
      <c r="J35" s="60" t="inlineStr">
        <is>
          <t>91992 IB withdrawal via Wise</t>
        </is>
      </c>
    </row>
    <row r="37" ht="22" customHeight="1" s="124">
      <c r="B37" s="130" t="inlineStr">
        <is>
          <t>──── 2024 Historical Travel FX (context only) ────</t>
        </is>
      </c>
    </row>
    <row r="38" ht="22" customHeight="1" s="124">
      <c r="B38" s="90" t="n">
        <v>45531</v>
      </c>
      <c r="C38" s="91" t="inlineStr">
        <is>
          <t>Daycoval</t>
        </is>
      </c>
      <c r="D38" s="91" t="inlineStr">
        <is>
          <t>Switzerland Travel</t>
        </is>
      </c>
      <c r="E38" s="92" t="n">
        <v>800</v>
      </c>
      <c r="F38" s="93" t="n">
        <v>5618.2</v>
      </c>
      <c r="G38" s="94" t="inlineStr">
        <is>
          <t>CHF</t>
        </is>
      </c>
      <c r="H38" s="94" t="inlineStr">
        <is>
          <t>Travel FX</t>
        </is>
      </c>
      <c r="I38" s="95" t="n">
        <v>7.0228</v>
      </c>
      <c r="J38" s="91" t="inlineStr">
        <is>
          <t>32999 Travel</t>
        </is>
      </c>
    </row>
    <row r="39" ht="22" customHeight="1" s="124">
      <c r="B39" s="90" t="n">
        <v>45531</v>
      </c>
      <c r="C39" s="91" t="inlineStr">
        <is>
          <t>Daycoval</t>
        </is>
      </c>
      <c r="D39" s="91" t="inlineStr">
        <is>
          <t>USA Travel</t>
        </is>
      </c>
      <c r="E39" s="92" t="n">
        <v>2000</v>
      </c>
      <c r="F39" s="93" t="n">
        <v>11473.79</v>
      </c>
      <c r="G39" s="94" t="inlineStr">
        <is>
          <t>USD</t>
        </is>
      </c>
      <c r="H39" s="94" t="inlineStr">
        <is>
          <t>Travel FX</t>
        </is>
      </c>
      <c r="I39" s="95" t="n">
        <v>5.7369</v>
      </c>
      <c r="J39" s="91" t="inlineStr">
        <is>
          <t>32999 Travel</t>
        </is>
      </c>
    </row>
    <row r="40" ht="22" customHeight="1" s="124">
      <c r="B40" s="90" t="n">
        <v>45615</v>
      </c>
      <c r="C40" s="91" t="inlineStr">
        <is>
          <t>Daycoval</t>
        </is>
      </c>
      <c r="D40" s="91" t="inlineStr">
        <is>
          <t>Switzerland Travel</t>
        </is>
      </c>
      <c r="E40" s="92" t="n">
        <v>1500</v>
      </c>
      <c r="F40" s="93" t="n">
        <v>10534.12</v>
      </c>
      <c r="G40" s="94" t="inlineStr">
        <is>
          <t>CHF</t>
        </is>
      </c>
      <c r="H40" s="94" t="inlineStr">
        <is>
          <t>Travel FX</t>
        </is>
      </c>
      <c r="I40" s="95" t="n">
        <v>7.0228</v>
      </c>
      <c r="J40" s="91" t="inlineStr">
        <is>
          <t>32999 Travel</t>
        </is>
      </c>
    </row>
    <row r="43" ht="26" customHeight="1" s="124">
      <c r="B43" s="73" t="inlineStr">
        <is>
          <t>OUTBOUND 2026</t>
        </is>
      </c>
      <c r="F43" s="70">
        <f>SUMIF(H4:H35,"Outbound",F4:F35)</f>
        <v/>
      </c>
    </row>
    <row r="44" ht="26" customHeight="1" s="124">
      <c r="B44" s="96" t="inlineStr">
        <is>
          <t>INBOUND 2026</t>
        </is>
      </c>
      <c r="F44" s="19">
        <f>SUMIF(H4:H35,"Inbound",F4:F35)</f>
        <v/>
      </c>
    </row>
  </sheetData>
  <autoFilter ref="B3:J35"/>
  <mergeCells count="3">
    <mergeCell ref="B1:J1"/>
    <mergeCell ref="B37:J37"/>
    <mergeCell ref="B2:J2"/>
  </mergeCells>
  <dataValidations count="1">
    <dataValidation sqref="H4 H5 H6 H7 H8 H9 H10 H11 H12 H13 H14 H15 H16 H17 H18 H19 H20 H21 H22 H23 H24 H25 H26 H27 H28 H29 H30 H31 H32 H33 H34 H35" showDropDown="0" showInputMessage="0" showErrorMessage="0" allowBlank="1" type="list">
      <formula1>"Outbound,Inbound,IB Deposit,IB Withdraw,Fund Deposit,Travel FX"</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G3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 customWidth="1" style="124" min="1" max="1"/>
    <col width="14" customWidth="1" style="124" min="2" max="2"/>
    <col width="16" customWidth="1" style="124" min="3" max="4"/>
    <col width="20" customWidth="1" style="124" min="5" max="5"/>
    <col width="16" customWidth="1" style="124" min="6" max="6"/>
    <col width="24" customWidth="1" style="124" min="7" max="7"/>
  </cols>
  <sheetData>
    <row r="1" ht="36" customHeight="1" s="124">
      <c r="B1" s="126" t="inlineStr">
        <is>
          <t>📅  Weekly Tracker — Jan–Jun 2026 (derived from card transactions)</t>
        </is>
      </c>
    </row>
    <row r="2" ht="22" customHeight="1" s="124">
      <c r="B2" s="123" t="inlineStr">
        <is>
          <t>Weekly card spend derived by matching transaction dates. Review and supplement with Uber/cash/PIX spend.</t>
        </is>
      </c>
    </row>
    <row r="3" ht="26" customHeight="1" s="124">
      <c r="B3" s="4" t="inlineStr">
        <is>
          <t>Week #</t>
        </is>
      </c>
      <c r="C3" s="4" t="inlineStr">
        <is>
          <t>Week Start</t>
        </is>
      </c>
      <c r="D3" s="4" t="inlineStr">
        <is>
          <t>Week End</t>
        </is>
      </c>
      <c r="E3" s="4" t="inlineStr">
        <is>
          <t>Card Spend</t>
        </is>
      </c>
      <c r="F3" s="4" t="inlineStr">
        <is>
          <t># Txs</t>
        </is>
      </c>
      <c r="G3" s="4" t="inlineStr">
        <is>
          <t>Notes</t>
        </is>
      </c>
    </row>
    <row r="4" ht="22" customHeight="1" s="124">
      <c r="B4" s="97" t="n">
        <v>1</v>
      </c>
      <c r="C4" s="98" t="n">
        <v>46027</v>
      </c>
      <c r="D4" s="98" t="n">
        <v>46033</v>
      </c>
      <c r="E4" s="99" t="n">
        <v>-1032.06</v>
      </c>
      <c r="F4" s="100" t="n">
        <v>14</v>
      </c>
      <c r="G4" s="101" t="inlineStr">
        <is>
          <t>Inclui 11 lançamentos pré-período (dez-2025 + início jan, R$878.68)</t>
        </is>
      </c>
    </row>
    <row r="5" ht="22" customHeight="1" s="124">
      <c r="B5" s="102" t="n">
        <v>2</v>
      </c>
      <c r="C5" s="103" t="n">
        <v>46034</v>
      </c>
      <c r="D5" s="103" t="n">
        <v>46040</v>
      </c>
      <c r="E5" s="104" t="n">
        <v>-137.16</v>
      </c>
      <c r="F5" s="105" t="n">
        <v>2</v>
      </c>
      <c r="G5" s="106" t="n"/>
    </row>
    <row r="6" ht="22" customHeight="1" s="124">
      <c r="B6" s="97" t="n">
        <v>3</v>
      </c>
      <c r="C6" s="98" t="n">
        <v>46041</v>
      </c>
      <c r="D6" s="98" t="n">
        <v>46047</v>
      </c>
      <c r="E6" s="99" t="n">
        <v>-1806.44</v>
      </c>
      <c r="F6" s="100" t="n">
        <v>3</v>
      </c>
      <c r="G6" s="101" t="n"/>
    </row>
    <row r="7" ht="22" customHeight="1" s="124">
      <c r="B7" s="102" t="n">
        <v>4</v>
      </c>
      <c r="C7" s="103" t="n">
        <v>46048</v>
      </c>
      <c r="D7" s="103" t="n">
        <v>46054</v>
      </c>
      <c r="E7" s="104" t="n">
        <v>-624.53</v>
      </c>
      <c r="F7" s="105" t="n">
        <v>2</v>
      </c>
      <c r="G7" s="106" t="n"/>
    </row>
    <row r="8" ht="22" customHeight="1" s="124">
      <c r="B8" s="97" t="n">
        <v>5</v>
      </c>
      <c r="C8" s="98" t="n">
        <v>46055</v>
      </c>
      <c r="D8" s="98" t="n">
        <v>46061</v>
      </c>
      <c r="E8" s="99" t="n">
        <v>-402.9999999999999</v>
      </c>
      <c r="F8" s="100" t="n">
        <v>3</v>
      </c>
      <c r="G8" s="101" t="n"/>
    </row>
    <row r="9" ht="22" customHeight="1" s="124">
      <c r="B9" s="102" t="n">
        <v>6</v>
      </c>
      <c r="C9" s="103" t="n">
        <v>46062</v>
      </c>
      <c r="D9" s="103" t="n">
        <v>46068</v>
      </c>
      <c r="E9" s="104" t="n">
        <v>-71.65000000000001</v>
      </c>
      <c r="F9" s="105" t="n">
        <v>2</v>
      </c>
      <c r="G9" s="106" t="n"/>
    </row>
    <row r="10" ht="22" customHeight="1" s="124">
      <c r="B10" s="97" t="n">
        <v>7</v>
      </c>
      <c r="C10" s="98" t="n">
        <v>46069</v>
      </c>
      <c r="D10" s="98" t="n">
        <v>46075</v>
      </c>
      <c r="E10" s="99" t="n">
        <v>-646.47</v>
      </c>
      <c r="F10" s="100" t="n">
        <v>2</v>
      </c>
      <c r="G10" s="101" t="n"/>
    </row>
    <row r="11" ht="22" customHeight="1" s="124">
      <c r="B11" s="102" t="n">
        <v>8</v>
      </c>
      <c r="C11" s="103" t="n">
        <v>46076</v>
      </c>
      <c r="D11" s="103" t="n">
        <v>46082</v>
      </c>
      <c r="E11" s="104" t="n">
        <v>-99.90000000000001</v>
      </c>
      <c r="F11" s="105" t="n">
        <v>1</v>
      </c>
      <c r="G11" s="106" t="n"/>
    </row>
    <row r="12" ht="22" customHeight="1" s="124">
      <c r="B12" s="97" t="n">
        <v>9</v>
      </c>
      <c r="C12" s="98" t="n">
        <v>46083</v>
      </c>
      <c r="D12" s="98" t="n">
        <v>46089</v>
      </c>
      <c r="E12" s="99" t="n">
        <v>-185.13</v>
      </c>
      <c r="F12" s="100" t="n">
        <v>3</v>
      </c>
      <c r="G12" s="101" t="n"/>
    </row>
    <row r="13" ht="22" customHeight="1" s="124">
      <c r="B13" s="102" t="n">
        <v>10</v>
      </c>
      <c r="C13" s="103" t="n">
        <v>46090</v>
      </c>
      <c r="D13" s="103" t="n">
        <v>46096</v>
      </c>
      <c r="E13" s="104" t="n">
        <v>-133.68</v>
      </c>
      <c r="F13" s="105" t="n">
        <v>2</v>
      </c>
      <c r="G13" s="106" t="n"/>
    </row>
    <row r="14" ht="22" customHeight="1" s="124">
      <c r="B14" s="97" t="n">
        <v>11</v>
      </c>
      <c r="C14" s="98" t="n">
        <v>46097</v>
      </c>
      <c r="D14" s="98" t="n">
        <v>46103</v>
      </c>
      <c r="E14" s="99" t="n">
        <v>-752.36</v>
      </c>
      <c r="F14" s="100" t="n">
        <v>3</v>
      </c>
      <c r="G14" s="101" t="n"/>
    </row>
    <row r="15" ht="22" customHeight="1" s="124">
      <c r="B15" s="102" t="n">
        <v>12</v>
      </c>
      <c r="C15" s="103" t="n">
        <v>46104</v>
      </c>
      <c r="D15" s="103" t="n">
        <v>46110</v>
      </c>
      <c r="E15" s="104" t="n"/>
      <c r="F15" s="105" t="n"/>
      <c r="G15" s="106" t="n"/>
    </row>
    <row r="16" ht="22" customHeight="1" s="124">
      <c r="B16" s="97" t="n">
        <v>13</v>
      </c>
      <c r="C16" s="98" t="n">
        <v>46111</v>
      </c>
      <c r="D16" s="98" t="n">
        <v>46117</v>
      </c>
      <c r="E16" s="99" t="n">
        <v>-400.09</v>
      </c>
      <c r="F16" s="100" t="n">
        <v>4</v>
      </c>
      <c r="G16" s="101" t="n"/>
    </row>
    <row r="17" ht="22" customHeight="1" s="124">
      <c r="B17" s="102" t="n">
        <v>14</v>
      </c>
      <c r="C17" s="103" t="n">
        <v>46118</v>
      </c>
      <c r="D17" s="103" t="n">
        <v>46124</v>
      </c>
      <c r="E17" s="104" t="n">
        <v>-95.21000000000001</v>
      </c>
      <c r="F17" s="105" t="n">
        <v>3</v>
      </c>
      <c r="G17" s="106" t="n"/>
    </row>
    <row r="18" ht="22" customHeight="1" s="124">
      <c r="B18" s="97" t="n">
        <v>15</v>
      </c>
      <c r="C18" s="98" t="n">
        <v>46125</v>
      </c>
      <c r="D18" s="98" t="n">
        <v>46131</v>
      </c>
      <c r="E18" s="99" t="n">
        <v>-103.5</v>
      </c>
      <c r="F18" s="100" t="n">
        <v>1</v>
      </c>
      <c r="G18" s="101" t="n"/>
    </row>
    <row r="19" ht="22" customHeight="1" s="124">
      <c r="B19" s="102" t="n">
        <v>16</v>
      </c>
      <c r="C19" s="103" t="n">
        <v>46132</v>
      </c>
      <c r="D19" s="103" t="n">
        <v>46138</v>
      </c>
      <c r="E19" s="104" t="n">
        <v>-1163.94</v>
      </c>
      <c r="F19" s="105" t="n">
        <v>4</v>
      </c>
      <c r="G19" s="106" t="n"/>
    </row>
    <row r="20" ht="22" customHeight="1" s="124">
      <c r="B20" s="97" t="n">
        <v>17</v>
      </c>
      <c r="C20" s="98" t="n">
        <v>46139</v>
      </c>
      <c r="D20" s="98" t="n">
        <v>46145</v>
      </c>
      <c r="E20" s="99" t="n">
        <v>-677.26</v>
      </c>
      <c r="F20" s="100" t="n">
        <v>5</v>
      </c>
      <c r="G20" s="101" t="n"/>
    </row>
    <row r="21" ht="22" customHeight="1" s="124">
      <c r="B21" s="102" t="n">
        <v>18</v>
      </c>
      <c r="C21" s="103" t="n">
        <v>46146</v>
      </c>
      <c r="D21" s="103" t="n">
        <v>46152</v>
      </c>
      <c r="E21" s="104" t="n">
        <v>-172.68</v>
      </c>
      <c r="F21" s="105" t="n">
        <v>3</v>
      </c>
      <c r="G21" s="106" t="n"/>
    </row>
    <row r="22" ht="22" customHeight="1" s="124">
      <c r="B22" s="97" t="n">
        <v>19</v>
      </c>
      <c r="C22" s="98" t="n">
        <v>46153</v>
      </c>
      <c r="D22" s="98" t="n">
        <v>46159</v>
      </c>
      <c r="E22" s="99" t="n">
        <v>-183.67</v>
      </c>
      <c r="F22" s="100" t="n">
        <v>2</v>
      </c>
      <c r="G22" s="101" t="n"/>
    </row>
    <row r="23" ht="22" customHeight="1" s="124">
      <c r="B23" s="102" t="n">
        <v>20</v>
      </c>
      <c r="C23" s="103" t="n">
        <v>46160</v>
      </c>
      <c r="D23" s="103" t="n">
        <v>46166</v>
      </c>
      <c r="E23" s="104" t="n">
        <v>-800.42</v>
      </c>
      <c r="F23" s="105" t="n">
        <v>5</v>
      </c>
      <c r="G23" s="106" t="n"/>
    </row>
    <row r="24" ht="22" customHeight="1" s="124">
      <c r="B24" s="97" t="n">
        <v>21</v>
      </c>
      <c r="C24" s="98" t="n">
        <v>46167</v>
      </c>
      <c r="D24" s="98" t="n">
        <v>46173</v>
      </c>
      <c r="E24" s="99" t="n">
        <v>-317.25</v>
      </c>
      <c r="F24" s="100" t="n">
        <v>3</v>
      </c>
      <c r="G24" s="101" t="n"/>
    </row>
    <row r="25" ht="22" customHeight="1" s="124">
      <c r="B25" s="102" t="n">
        <v>22</v>
      </c>
      <c r="C25" s="103" t="n">
        <v>46174</v>
      </c>
      <c r="D25" s="103" t="n">
        <v>46180</v>
      </c>
      <c r="E25" s="104" t="n">
        <v>-425.12</v>
      </c>
      <c r="F25" s="105" t="n">
        <v>5</v>
      </c>
      <c r="G25" s="106" t="n"/>
    </row>
    <row r="26" ht="22" customHeight="1" s="124">
      <c r="B26" s="97" t="n">
        <v>23</v>
      </c>
      <c r="C26" s="98" t="n">
        <v>46181</v>
      </c>
      <c r="D26" s="98" t="n">
        <v>46187</v>
      </c>
      <c r="E26" s="99" t="n"/>
      <c r="F26" s="100" t="n"/>
      <c r="G26" s="101" t="n"/>
    </row>
    <row r="27" ht="22" customHeight="1" s="124">
      <c r="B27" s="102" t="n">
        <v>24</v>
      </c>
      <c r="C27" s="103" t="n">
        <v>46188</v>
      </c>
      <c r="D27" s="103" t="n">
        <v>46194</v>
      </c>
      <c r="E27" s="104" t="n"/>
      <c r="F27" s="105" t="n"/>
      <c r="G27" s="106" t="n"/>
    </row>
    <row r="28" ht="22" customHeight="1" s="124">
      <c r="B28" s="97" t="n">
        <v>25</v>
      </c>
      <c r="C28" s="98" t="n">
        <v>46195</v>
      </c>
      <c r="D28" s="98" t="n">
        <v>46201</v>
      </c>
      <c r="E28" s="99" t="n"/>
      <c r="F28" s="100" t="n"/>
      <c r="G28" s="101" t="n"/>
    </row>
    <row r="29" ht="22" customHeight="1" s="124">
      <c r="B29" s="102" t="n">
        <v>26</v>
      </c>
      <c r="C29" s="103" t="n">
        <v>46202</v>
      </c>
      <c r="D29" s="103" t="n">
        <v>46208</v>
      </c>
      <c r="E29" s="104" t="n"/>
      <c r="F29" s="105" t="n"/>
      <c r="G29" s="106" t="n"/>
    </row>
    <row r="30" ht="26" customHeight="1" s="124">
      <c r="B30" s="55" t="inlineStr">
        <is>
          <t>TOTAL</t>
        </is>
      </c>
      <c r="E30" s="56">
        <f>SUM(E4:E29)</f>
        <v/>
      </c>
      <c r="F30" s="107">
        <f>SUM(F4:F29)</f>
        <v/>
      </c>
    </row>
    <row r="31">
      <c r="B31" t="inlineStr">
        <is>
          <t>✓ RECONCILE vs Transactions (deve ser 0)</t>
        </is>
      </c>
      <c r="E31">
        <f>E30-'💳 Transactions'!G76</f>
        <v/>
      </c>
    </row>
  </sheetData>
  <mergeCells count="2">
    <mergeCell ref="B2:G2"/>
    <mergeCell ref="B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D10"/>
  <sheetViews>
    <sheetView showGridLines="0" workbookViewId="0">
      <selection activeCell="A1" sqref="A1"/>
    </sheetView>
  </sheetViews>
  <sheetFormatPr baseColWidth="10" defaultColWidth="8.83203125" defaultRowHeight="15"/>
  <cols>
    <col width="3" customWidth="1" style="124" min="1" max="1"/>
    <col width="44" customWidth="1" style="124" min="2" max="2"/>
    <col width="4" customWidth="1" style="124" min="3" max="3"/>
    <col width="52" customWidth="1" style="124" min="4" max="4"/>
  </cols>
  <sheetData>
    <row r="1" ht="36" customHeight="1" s="124">
      <c r="B1" s="126" t="inlineStr">
        <is>
          <t>📖  financas-2026 · Solution C · Real Data Operating Guide</t>
        </is>
      </c>
    </row>
    <row r="3" ht="26" customHeight="1" s="124">
      <c r="B3" s="108" t="inlineStr">
        <is>
          <t>DATA LOADED — STATUS</t>
        </is>
      </c>
    </row>
    <row r="4" ht="130" customHeight="1" s="124">
      <c r="B4" s="141" t="inlineStr">
        <is>
          <t>✅ 💳 Transactions: 72 card entries Jan–Jun 2026 (subscription_budget_dashboard_v3_deduped.xlsx)
✅ 🔄 Subscriptions: 15 services with KEEP/CANCEL/REVIEW decisions already assigned
✅ ❌ Cancel Tracker: All CANCEL items pre-loaded (status = Pending, update each Sunday)
✅ 🏦 Banks: BB Brasil R$42,112.59 confirmed · MP / Inter / BCB need manual balance input
✅ 🌉 Cash Bridge: All BB Brasil extrato movements Jan–Jun 2026 fully parsed
✅ 🌍 International: 32 BCB Câmbio 2026 operations (self-transfers + IB + funds + inbound)
✅ 📅 Weekly: Derived from card transaction dates — review for completeness
⚠ MP JSON (fatura Jun 2026) not merged to avoid duplicates — check transactions for coverage</t>
        </is>
      </c>
      <c r="C4" s="132" t="n"/>
      <c r="D4" s="133" t="n"/>
    </row>
    <row r="6" ht="26" customHeight="1" s="124">
      <c r="B6" s="108" t="inlineStr">
        <is>
          <t>SUNDAY RITUAL (30–45 min)</t>
        </is>
      </c>
    </row>
    <row r="7" ht="130" customHeight="1" s="124">
      <c r="B7" s="141" t="inlineStr">
        <is>
          <t>1. 💳 Transactions — add any charges not yet captured (check MP app / bank statement)
2. 🏦 Banks — update Mercado Pago, Banco Inter, BCB balances manually (3 cells)
3. 🔄 Subscriptions — review status; advance any REVIEW decisions
4. ❌ Cancel Tracker — update Status per service (Pending → In Progress → Cancelled)
5. 📋 SYNC — all totals auto-calculate. Review the 12 key metrics.
6. Open HTML dashboard in BBEdit / TextEdit → update JS data variables from SYNC
7. Save HTML → open in Safari → verify charts updated → done.</t>
        </is>
      </c>
      <c r="C7" s="132" t="n"/>
      <c r="D7" s="133" t="n"/>
    </row>
    <row r="9" ht="26" customHeight="1" s="124">
      <c r="B9" s="108" t="inlineStr">
        <is>
          <t>PHASE 2 GATE</t>
        </is>
      </c>
    </row>
    <row r="10" ht="130" customHeight="1" s="124">
      <c r="B10" s="141" t="inlineStr">
        <is>
          <t>Do NOT begin SwiftUI / Vision / Foundation Models until ALL are true:
✓ 3 complete Sunday cycles documented
✓ PDF ingestion confirmed as the real operational bottleneck
✓ Time is available for a native build
✓ HTML no longer solves the need
This file is designed to run for months without modification.</t>
        </is>
      </c>
      <c r="C10" s="132" t="n"/>
      <c r="D10" s="133" t="n"/>
    </row>
  </sheetData>
  <mergeCells count="4">
    <mergeCell ref="B10:D10"/>
    <mergeCell ref="B7:D7"/>
    <mergeCell ref="B1:D1"/>
    <mergeCell ref="B4:D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2"/>
  <sheetViews>
    <sheetView showGridLines="0" workbookViewId="0">
      <pane ySplit="3" topLeftCell="A4" activePane="bottomLeft" state="frozen"/>
      <selection pane="bottomLeft" activeCell="A1" sqref="A1"/>
    </sheetView>
  </sheetViews>
  <sheetFormatPr baseColWidth="10" defaultColWidth="8.83203125" defaultRowHeight="15"/>
  <cols>
    <col width="12" customWidth="1" style="124" min="1" max="1"/>
    <col width="10" customWidth="1" style="124" min="2" max="2"/>
    <col width="44" customWidth="1" style="124" min="3" max="3"/>
    <col width="14" customWidth="1" style="124" min="4" max="4"/>
    <col width="22" customWidth="1" style="124" min="5" max="5"/>
    <col width="12" customWidth="1" style="124" min="6" max="6"/>
    <col width="14" customWidth="1" style="124" min="7" max="7"/>
    <col width="6" customWidth="1" style="124" min="8" max="8"/>
  </cols>
  <sheetData>
    <row r="1" ht="34" customHeight="1" s="124">
      <c r="A1" s="138" t="inlineStr">
        <is>
          <t>💳  Mercado Pago — Faturas Cartão de Crédito  2026</t>
        </is>
      </c>
    </row>
    <row r="2" ht="28" customHeight="1" s="124">
      <c r="A2" s="134">
        <f>"Total: R$"&amp;TEXT(SUM(D4:D149),"#,##0.00")</f>
        <v/>
      </c>
      <c r="C2" s="135">
        <f>COUNT(D4:D149)&amp;" transações"</f>
        <v/>
      </c>
      <c r="E2" s="137" t="inlineStr">
        <is>
          <t>Limite: R$35.000,00</t>
        </is>
      </c>
      <c r="G2" s="136" t="inlineStr">
        <is>
          <t>Cartão Visa ****9433</t>
        </is>
      </c>
    </row>
    <row r="3" ht="26" customHeight="1" s="124">
      <c r="A3" s="112" t="inlineStr">
        <is>
          <t>Data</t>
        </is>
      </c>
      <c r="B3" s="112" t="inlineStr">
        <is>
          <t>Fatura</t>
        </is>
      </c>
      <c r="C3" s="112" t="inlineStr">
        <is>
          <t>Merchant / Estabelecimento</t>
        </is>
      </c>
      <c r="D3" s="112" t="inlineStr">
        <is>
          <t>Valor (R$)</t>
        </is>
      </c>
      <c r="E3" s="112" t="inlineStr">
        <is>
          <t>Categoria</t>
        </is>
      </c>
      <c r="F3" s="112" t="inlineStr">
        <is>
          <t>Internacional</t>
        </is>
      </c>
      <c r="G3" s="112" t="inlineStr">
        <is>
          <t>Fonte</t>
        </is>
      </c>
      <c r="H3" s="112" t="inlineStr">
        <is>
          <t>#</t>
        </is>
      </c>
    </row>
    <row r="4">
      <c r="A4" s="113" t="inlineStr">
        <is>
          <t>2026-01-06</t>
        </is>
      </c>
      <c r="B4" s="113" t="inlineStr">
        <is>
          <t>2026-02</t>
        </is>
      </c>
      <c r="C4" s="114" t="inlineStr">
        <is>
          <t>IFD*PIZZA NOW INTERMARES</t>
        </is>
      </c>
      <c r="D4" s="115" t="n">
        <v>173.79</v>
      </c>
      <c r="E4" s="113" t="inlineStr">
        <is>
          <t>Delivery/iFood</t>
        </is>
      </c>
      <c r="F4" s="113" t="inlineStr">
        <is>
          <t>Não</t>
        </is>
      </c>
      <c r="G4" s="113" t="inlineStr">
        <is>
          <t>MP Cartão</t>
        </is>
      </c>
      <c r="H4" s="113" t="n">
        <v>1</v>
      </c>
    </row>
    <row r="5">
      <c r="A5" s="116" t="inlineStr">
        <is>
          <t>2026-01-08</t>
        </is>
      </c>
      <c r="B5" s="116" t="inlineStr">
        <is>
          <t>2026-02</t>
        </is>
      </c>
      <c r="C5" s="117" t="inlineStr">
        <is>
          <t>Compra internacional em OPENAI *CHATGPT SUBSCR</t>
        </is>
      </c>
      <c r="D5" s="118" t="n">
        <v>111.58</v>
      </c>
      <c r="E5" s="116" t="inlineStr">
        <is>
          <t>IA/Tecnologia</t>
        </is>
      </c>
      <c r="F5" s="116" t="inlineStr">
        <is>
          <t>Sim</t>
        </is>
      </c>
      <c r="G5" s="116" t="inlineStr">
        <is>
          <t>MP Cartão</t>
        </is>
      </c>
      <c r="H5" s="116" t="n">
        <v>2</v>
      </c>
    </row>
    <row r="6">
      <c r="A6" s="113" t="inlineStr">
        <is>
          <t>2026-01-08</t>
        </is>
      </c>
      <c r="B6" s="113" t="inlineStr">
        <is>
          <t>2026-02</t>
        </is>
      </c>
      <c r="C6" s="114" t="inlineStr">
        <is>
          <t>APPLE.COM/BILL</t>
        </is>
      </c>
      <c r="D6" s="115" t="n">
        <v>21.9</v>
      </c>
      <c r="E6" s="113" t="inlineStr">
        <is>
          <t>Assinatura</t>
        </is>
      </c>
      <c r="F6" s="113" t="inlineStr">
        <is>
          <t>Não</t>
        </is>
      </c>
      <c r="G6" s="113" t="inlineStr">
        <is>
          <t>MP Cartão</t>
        </is>
      </c>
      <c r="H6" s="113" t="n">
        <v>3</v>
      </c>
    </row>
    <row r="7">
      <c r="A7" s="116" t="inlineStr">
        <is>
          <t>2026-01-10</t>
        </is>
      </c>
      <c r="B7" s="116" t="inlineStr">
        <is>
          <t>2026-02</t>
        </is>
      </c>
      <c r="C7" s="117" t="inlineStr">
        <is>
          <t>IFD*34531468 EDWIN LEI</t>
        </is>
      </c>
      <c r="D7" s="118" t="n">
        <v>111.6</v>
      </c>
      <c r="E7" s="116" t="inlineStr">
        <is>
          <t>Delivery/iFood</t>
        </is>
      </c>
      <c r="F7" s="116" t="inlineStr">
        <is>
          <t>Não</t>
        </is>
      </c>
      <c r="G7" s="116" t="inlineStr">
        <is>
          <t>MP Cartão</t>
        </is>
      </c>
      <c r="H7" s="116" t="n">
        <v>4</v>
      </c>
    </row>
    <row r="8">
      <c r="A8" s="113" t="inlineStr">
        <is>
          <t>2026-01-10</t>
        </is>
      </c>
      <c r="B8" s="113" t="inlineStr">
        <is>
          <t>2026-02</t>
        </is>
      </c>
      <c r="C8" s="114" t="inlineStr">
        <is>
          <t>APPLE.COM/BILL</t>
        </is>
      </c>
      <c r="D8" s="115" t="n">
        <v>19.9</v>
      </c>
      <c r="E8" s="113" t="inlineStr">
        <is>
          <t>Assinatura</t>
        </is>
      </c>
      <c r="F8" s="113" t="inlineStr">
        <is>
          <t>Não</t>
        </is>
      </c>
      <c r="G8" s="113" t="inlineStr">
        <is>
          <t>MP Cartão</t>
        </is>
      </c>
      <c r="H8" s="113" t="n">
        <v>5</v>
      </c>
    </row>
    <row r="9">
      <c r="A9" s="116" t="inlineStr">
        <is>
          <t>2026-01-13</t>
        </is>
      </c>
      <c r="B9" s="116" t="inlineStr">
        <is>
          <t>2026-02</t>
        </is>
      </c>
      <c r="C9" s="117" t="inlineStr">
        <is>
          <t>MP*EDUARDOGIOVAN</t>
        </is>
      </c>
      <c r="D9" s="118" t="n">
        <v>0.78</v>
      </c>
      <c r="E9" s="116" t="inlineStr">
        <is>
          <t>Outros</t>
        </is>
      </c>
      <c r="F9" s="116" t="inlineStr">
        <is>
          <t>Sim</t>
        </is>
      </c>
      <c r="G9" s="116" t="inlineStr">
        <is>
          <t>MP Cartão</t>
        </is>
      </c>
      <c r="H9" s="116" t="n">
        <v>6</v>
      </c>
    </row>
    <row r="10">
      <c r="A10" s="113" t="inlineStr">
        <is>
          <t>2026-01-14</t>
        </is>
      </c>
      <c r="B10" s="113" t="inlineStr">
        <is>
          <t>2026-02</t>
        </is>
      </c>
      <c r="C10" s="114" t="inlineStr">
        <is>
          <t>Compra internacional em MANUS AI</t>
        </is>
      </c>
      <c r="D10" s="115" t="n">
        <v>25.79</v>
      </c>
      <c r="E10" s="113" t="inlineStr">
        <is>
          <t>IA/Tecnologia</t>
        </is>
      </c>
      <c r="F10" s="113" t="inlineStr">
        <is>
          <t>Sim</t>
        </is>
      </c>
      <c r="G10" s="113" t="inlineStr">
        <is>
          <t>MP Cartão</t>
        </is>
      </c>
      <c r="H10" s="113" t="n">
        <v>7</v>
      </c>
    </row>
    <row r="11">
      <c r="A11" s="116" t="inlineStr">
        <is>
          <t>2026-01-15</t>
        </is>
      </c>
      <c r="B11" s="116" t="inlineStr">
        <is>
          <t>2026-02</t>
        </is>
      </c>
      <c r="C11" s="117" t="inlineStr">
        <is>
          <t>DL*Starlink Braz</t>
        </is>
      </c>
      <c r="D11" s="118" t="n">
        <v>235.52</v>
      </c>
      <c r="E11" s="116" t="inlineStr">
        <is>
          <t>Internet</t>
        </is>
      </c>
      <c r="F11" s="116" t="inlineStr">
        <is>
          <t>Não</t>
        </is>
      </c>
      <c r="G11" s="116" t="inlineStr">
        <is>
          <t>MP Cartão</t>
        </is>
      </c>
      <c r="H11" s="116" t="n">
        <v>8</v>
      </c>
    </row>
    <row r="12">
      <c r="A12" s="113" t="inlineStr">
        <is>
          <t>2026-01-16</t>
        </is>
      </c>
      <c r="B12" s="113" t="inlineStr">
        <is>
          <t>2026-02</t>
        </is>
      </c>
      <c r="C12" s="114" t="inlineStr">
        <is>
          <t>MP*LOTERIASONLINEU1AQ</t>
        </is>
      </c>
      <c r="D12" s="115" t="n">
        <v>143.6</v>
      </c>
      <c r="E12" s="113" t="inlineStr">
        <is>
          <t>Loteria</t>
        </is>
      </c>
      <c r="F12" s="113" t="inlineStr">
        <is>
          <t>Sim</t>
        </is>
      </c>
      <c r="G12" s="113" t="inlineStr">
        <is>
          <t>MP Cartão</t>
        </is>
      </c>
      <c r="H12" s="113" t="n">
        <v>9</v>
      </c>
    </row>
    <row r="13">
      <c r="A13" s="116" t="inlineStr">
        <is>
          <t>2026-01-16</t>
        </is>
      </c>
      <c r="B13" s="116" t="inlineStr">
        <is>
          <t>2026-02</t>
        </is>
      </c>
      <c r="C13" s="117" t="inlineStr">
        <is>
          <t>IFD*FORMAGGIO RESTAURANTE</t>
        </is>
      </c>
      <c r="D13" s="118" t="n">
        <v>191.8</v>
      </c>
      <c r="E13" s="116" t="inlineStr">
        <is>
          <t>Delivery/iFood</t>
        </is>
      </c>
      <c r="F13" s="116" t="inlineStr">
        <is>
          <t>Sim</t>
        </is>
      </c>
      <c r="G13" s="116" t="inlineStr">
        <is>
          <t>MP Cartão</t>
        </is>
      </c>
      <c r="H13" s="116" t="n">
        <v>10</v>
      </c>
    </row>
    <row r="14">
      <c r="A14" s="113" t="inlineStr">
        <is>
          <t>2026-01-17</t>
        </is>
      </c>
      <c r="B14" s="113" t="inlineStr">
        <is>
          <t>2026-02</t>
        </is>
      </c>
      <c r="C14" s="114" t="inlineStr">
        <is>
          <t>Compra internacional em OPENAI *CHATGPT SUBSCR</t>
        </is>
      </c>
      <c r="D14" s="115" t="n">
        <v>111.37</v>
      </c>
      <c r="E14" s="113" t="inlineStr">
        <is>
          <t>IA/Tecnologia</t>
        </is>
      </c>
      <c r="F14" s="113" t="inlineStr">
        <is>
          <t>Sim</t>
        </is>
      </c>
      <c r="G14" s="113" t="inlineStr">
        <is>
          <t>MP Cartão</t>
        </is>
      </c>
      <c r="H14" s="113" t="n">
        <v>11</v>
      </c>
    </row>
    <row r="15">
      <c r="A15" s="116" t="inlineStr">
        <is>
          <t>2026-01-17</t>
        </is>
      </c>
      <c r="B15" s="116" t="inlineStr">
        <is>
          <t>2026-02</t>
        </is>
      </c>
      <c r="C15" s="117" t="inlineStr">
        <is>
          <t>MP*LOTERIASONLINE542V</t>
        </is>
      </c>
      <c r="D15" s="118" t="n">
        <v>111</v>
      </c>
      <c r="E15" s="116" t="inlineStr">
        <is>
          <t>Loteria</t>
        </is>
      </c>
      <c r="F15" s="116" t="inlineStr">
        <is>
          <t>Sim</t>
        </is>
      </c>
      <c r="G15" s="116" t="inlineStr">
        <is>
          <t>MP Cartão</t>
        </is>
      </c>
      <c r="H15" s="116" t="n">
        <v>12</v>
      </c>
    </row>
    <row r="16">
      <c r="A16" s="113" t="inlineStr">
        <is>
          <t>2026-01-19</t>
        </is>
      </c>
      <c r="B16" s="113" t="inlineStr">
        <is>
          <t>2026-02</t>
        </is>
      </c>
      <c r="C16" s="114" t="inlineStr">
        <is>
          <t>Compra internacional em LEMSQZY* PINEAPPLE-APP</t>
        </is>
      </c>
      <c r="D16" s="115" t="n">
        <v>111.11</v>
      </c>
      <c r="E16" s="113" t="inlineStr">
        <is>
          <t>Assinatura</t>
        </is>
      </c>
      <c r="F16" s="113" t="inlineStr">
        <is>
          <t>Sim</t>
        </is>
      </c>
      <c r="G16" s="113" t="inlineStr">
        <is>
          <t>MP Cartão</t>
        </is>
      </c>
      <c r="H16" s="113" t="n">
        <v>13</v>
      </c>
    </row>
    <row r="17">
      <c r="A17" s="116" t="inlineStr">
        <is>
          <t>2026-01-21</t>
        </is>
      </c>
      <c r="B17" s="116" t="inlineStr">
        <is>
          <t>2026-02</t>
        </is>
      </c>
      <c r="C17" s="117" t="inlineStr">
        <is>
          <t>Compra internacional em CLAUDE.AI SUBSCRIPTION</t>
        </is>
      </c>
      <c r="D17" s="118" t="n">
        <v>1138.5</v>
      </c>
      <c r="E17" s="116" t="inlineStr">
        <is>
          <t>IA/Tecnologia</t>
        </is>
      </c>
      <c r="F17" s="116" t="inlineStr">
        <is>
          <t>Sim</t>
        </is>
      </c>
      <c r="G17" s="116" t="inlineStr">
        <is>
          <t>MP Cartão</t>
        </is>
      </c>
      <c r="H17" s="116" t="n">
        <v>14</v>
      </c>
    </row>
    <row r="18">
      <c r="A18" s="113" t="inlineStr">
        <is>
          <t>2026-01-21</t>
        </is>
      </c>
      <c r="B18" s="113" t="inlineStr">
        <is>
          <t>2026-02</t>
        </is>
      </c>
      <c r="C18" s="114" t="inlineStr">
        <is>
          <t>Compra internacional em MANUS AI</t>
        </is>
      </c>
      <c r="D18" s="115" t="n">
        <v>556.83</v>
      </c>
      <c r="E18" s="113" t="inlineStr">
        <is>
          <t>IA/Tecnologia</t>
        </is>
      </c>
      <c r="F18" s="113" t="inlineStr">
        <is>
          <t>Sim</t>
        </is>
      </c>
      <c r="G18" s="113" t="inlineStr">
        <is>
          <t>MP Cartão</t>
        </is>
      </c>
      <c r="H18" s="113" t="n">
        <v>15</v>
      </c>
    </row>
    <row r="19">
      <c r="A19" s="116" t="inlineStr">
        <is>
          <t>2026-01-27</t>
        </is>
      </c>
      <c r="B19" s="116" t="inlineStr">
        <is>
          <t>2026-02</t>
        </is>
      </c>
      <c r="C19" s="117" t="inlineStr">
        <is>
          <t>Compra internacional em RAYCAST.COM</t>
        </is>
      </c>
      <c r="D19" s="118" t="n">
        <v>524.63</v>
      </c>
      <c r="E19" s="116" t="inlineStr">
        <is>
          <t>Outros</t>
        </is>
      </c>
      <c r="F19" s="116" t="inlineStr">
        <is>
          <t>Sim</t>
        </is>
      </c>
      <c r="G19" s="116" t="inlineStr">
        <is>
          <t>MP Cartão</t>
        </is>
      </c>
      <c r="H19" s="116" t="n">
        <v>16</v>
      </c>
    </row>
    <row r="20">
      <c r="A20" s="113" t="inlineStr">
        <is>
          <t>2026-01-28</t>
        </is>
      </c>
      <c r="B20" s="113" t="inlineStr">
        <is>
          <t>2026-02</t>
        </is>
      </c>
      <c r="C20" s="114" t="inlineStr">
        <is>
          <t>IFD*34531468 EDWIN LEI</t>
        </is>
      </c>
      <c r="D20" s="115" t="n">
        <v>55.8</v>
      </c>
      <c r="E20" s="113" t="inlineStr">
        <is>
          <t>Delivery/iFood</t>
        </is>
      </c>
      <c r="F20" s="113" t="inlineStr">
        <is>
          <t>Não</t>
        </is>
      </c>
      <c r="G20" s="113" t="inlineStr">
        <is>
          <t>MP Cartão</t>
        </is>
      </c>
      <c r="H20" s="113" t="n">
        <v>17</v>
      </c>
    </row>
    <row r="21">
      <c r="A21" s="116" t="inlineStr">
        <is>
          <t>2026-01-30</t>
        </is>
      </c>
      <c r="B21" s="116" t="inlineStr">
        <is>
          <t>2026-02</t>
        </is>
      </c>
      <c r="C21" s="117" t="inlineStr">
        <is>
          <t>APPLE.COM/BILL</t>
        </is>
      </c>
      <c r="D21" s="118" t="n">
        <v>99.90000000000001</v>
      </c>
      <c r="E21" s="116" t="inlineStr">
        <is>
          <t>Assinatura</t>
        </is>
      </c>
      <c r="F21" s="116" t="inlineStr">
        <is>
          <t>Sim</t>
        </is>
      </c>
      <c r="G21" s="116" t="inlineStr">
        <is>
          <t>MP Cartão</t>
        </is>
      </c>
      <c r="H21" s="116" t="n">
        <v>18</v>
      </c>
    </row>
    <row r="22">
      <c r="A22" s="113" t="inlineStr">
        <is>
          <t>2026-02-03</t>
        </is>
      </c>
      <c r="B22" s="113" t="inlineStr">
        <is>
          <t>2026-02</t>
        </is>
      </c>
      <c r="C22" s="114" t="inlineStr">
        <is>
          <t>Compra internacional em DESKTOP COMMANDER</t>
        </is>
      </c>
      <c r="D22" s="115" t="n">
        <v>272.21</v>
      </c>
      <c r="E22" s="113" t="inlineStr">
        <is>
          <t>Outros</t>
        </is>
      </c>
      <c r="F22" s="113" t="inlineStr">
        <is>
          <t>Sim</t>
        </is>
      </c>
      <c r="G22" s="113" t="inlineStr">
        <is>
          <t>MP Cartão</t>
        </is>
      </c>
      <c r="H22" s="113" t="n">
        <v>19</v>
      </c>
    </row>
    <row r="23">
      <c r="A23" s="116" t="inlineStr">
        <is>
          <t>2026-02-04</t>
        </is>
      </c>
      <c r="B23" s="116" t="inlineStr">
        <is>
          <t>2026-02</t>
        </is>
      </c>
      <c r="C23" s="117" t="inlineStr">
        <is>
          <t>MP*LOTERIASONLINEM4UQ</t>
        </is>
      </c>
      <c r="D23" s="118" t="n">
        <v>168</v>
      </c>
      <c r="E23" s="116" t="inlineStr">
        <is>
          <t>Loteria</t>
        </is>
      </c>
      <c r="F23" s="116" t="inlineStr">
        <is>
          <t>Não</t>
        </is>
      </c>
      <c r="G23" s="116" t="inlineStr">
        <is>
          <t>MP Cartão</t>
        </is>
      </c>
      <c r="H23" s="116" t="n">
        <v>20</v>
      </c>
    </row>
    <row r="24">
      <c r="A24" s="113" t="inlineStr">
        <is>
          <t>2026-02-05</t>
        </is>
      </c>
      <c r="B24" s="113" t="inlineStr">
        <is>
          <t>2026-02</t>
        </is>
      </c>
      <c r="C24" s="114" t="inlineStr">
        <is>
          <t>MP*LOTERIASONLINEYY48</t>
        </is>
      </c>
      <c r="D24" s="115" t="n">
        <v>84</v>
      </c>
      <c r="E24" s="113" t="inlineStr">
        <is>
          <t>Loteria</t>
        </is>
      </c>
      <c r="F24" s="113" t="inlineStr">
        <is>
          <t>Não</t>
        </is>
      </c>
      <c r="G24" s="113" t="inlineStr">
        <is>
          <t>MP Cartão</t>
        </is>
      </c>
      <c r="H24" s="113" t="n">
        <v>21</v>
      </c>
    </row>
    <row r="25">
      <c r="A25" s="116" t="inlineStr">
        <is>
          <t>2026-02-05</t>
        </is>
      </c>
      <c r="B25" s="116" t="inlineStr">
        <is>
          <t>2026-03</t>
        </is>
      </c>
      <c r="C25" s="117" t="inlineStr">
        <is>
          <t>Compra internacional em OPENAI *CHATGPT SUBSCR</t>
        </is>
      </c>
      <c r="D25" s="118" t="n">
        <v>108.89</v>
      </c>
      <c r="E25" s="116" t="inlineStr">
        <is>
          <t>IA/Tecnologia</t>
        </is>
      </c>
      <c r="F25" s="116" t="inlineStr">
        <is>
          <t>Sim</t>
        </is>
      </c>
      <c r="G25" s="116" t="inlineStr">
        <is>
          <t>MP Cartão</t>
        </is>
      </c>
      <c r="H25" s="116" t="n">
        <v>22</v>
      </c>
    </row>
    <row r="26">
      <c r="A26" s="113" t="inlineStr">
        <is>
          <t>2026-02-08</t>
        </is>
      </c>
      <c r="B26" s="113" t="inlineStr">
        <is>
          <t>2026-03</t>
        </is>
      </c>
      <c r="C26" s="114" t="inlineStr">
        <is>
          <t>APPLECOMBILL</t>
        </is>
      </c>
      <c r="D26" s="115" t="n">
        <v>21.9</v>
      </c>
      <c r="E26" s="113" t="inlineStr">
        <is>
          <t>Assinatura</t>
        </is>
      </c>
      <c r="F26" s="113" t="inlineStr">
        <is>
          <t>Não</t>
        </is>
      </c>
      <c r="G26" s="113" t="inlineStr">
        <is>
          <t>MP Cartão</t>
        </is>
      </c>
      <c r="H26" s="113" t="n">
        <v>23</v>
      </c>
    </row>
    <row r="27">
      <c r="A27" s="116" t="inlineStr">
        <is>
          <t>2026-02-09</t>
        </is>
      </c>
      <c r="B27" s="116" t="inlineStr">
        <is>
          <t>2026-03</t>
        </is>
      </c>
      <c r="C27" s="117" t="inlineStr">
        <is>
          <t>MP*LOTERIASONLINEBFN5</t>
        </is>
      </c>
      <c r="D27" s="118" t="n">
        <v>150</v>
      </c>
      <c r="E27" s="116" t="inlineStr">
        <is>
          <t>Loteria</t>
        </is>
      </c>
      <c r="F27" s="116" t="inlineStr">
        <is>
          <t>Não</t>
        </is>
      </c>
      <c r="G27" s="116" t="inlineStr">
        <is>
          <t>MP Cartão</t>
        </is>
      </c>
      <c r="H27" s="116" t="n">
        <v>24</v>
      </c>
    </row>
    <row r="28">
      <c r="A28" s="113" t="inlineStr">
        <is>
          <t>2026-02-10</t>
        </is>
      </c>
      <c r="B28" s="113" t="inlineStr">
        <is>
          <t>2026-03</t>
        </is>
      </c>
      <c r="C28" s="114" t="inlineStr">
        <is>
          <t>APPLECOMBILL</t>
        </is>
      </c>
      <c r="D28" s="115" t="n">
        <v>19.9</v>
      </c>
      <c r="E28" s="113" t="inlineStr">
        <is>
          <t>Assinatura</t>
        </is>
      </c>
      <c r="F28" s="113" t="inlineStr">
        <is>
          <t>Sim</t>
        </is>
      </c>
      <c r="G28" s="113" t="inlineStr">
        <is>
          <t>MP Cartão</t>
        </is>
      </c>
      <c r="H28" s="113" t="n">
        <v>25</v>
      </c>
    </row>
    <row r="29">
      <c r="A29" s="116" t="inlineStr">
        <is>
          <t>2026-02-11</t>
        </is>
      </c>
      <c r="B29" s="116" t="inlineStr">
        <is>
          <t>2026-03</t>
        </is>
      </c>
      <c r="C29" s="117" t="inlineStr">
        <is>
          <t>MERCADOLIVRE*3PRODUTOS</t>
        </is>
      </c>
      <c r="D29" s="118" t="n">
        <v>6282.36</v>
      </c>
      <c r="E29" s="116" t="inlineStr">
        <is>
          <t>Compras/ML</t>
        </is>
      </c>
      <c r="F29" s="116" t="inlineStr">
        <is>
          <t>Não</t>
        </is>
      </c>
      <c r="G29" s="116" t="inlineStr">
        <is>
          <t>MP Cartão</t>
        </is>
      </c>
      <c r="H29" s="116" t="n">
        <v>26</v>
      </c>
    </row>
    <row r="30">
      <c r="A30" s="113" t="inlineStr">
        <is>
          <t>2026-02-14</t>
        </is>
      </c>
      <c r="B30" s="113" t="inlineStr">
        <is>
          <t>2026-03</t>
        </is>
      </c>
      <c r="C30" s="114" t="inlineStr">
        <is>
          <t>Compra internacional em ANTHROPIC</t>
        </is>
      </c>
      <c r="D30" s="115" t="n">
        <v>51.75</v>
      </c>
      <c r="E30" s="113" t="inlineStr">
        <is>
          <t>IA/Tecnologia</t>
        </is>
      </c>
      <c r="F30" s="113" t="inlineStr">
        <is>
          <t>Sim</t>
        </is>
      </c>
      <c r="G30" s="113" t="inlineStr">
        <is>
          <t>MP Cartão</t>
        </is>
      </c>
      <c r="H30" s="113" t="n">
        <v>27</v>
      </c>
    </row>
    <row r="31">
      <c r="A31" s="116" t="inlineStr">
        <is>
          <t>2026-02-14</t>
        </is>
      </c>
      <c r="B31" s="116" t="inlineStr">
        <is>
          <t>2026-03</t>
        </is>
      </c>
      <c r="C31" s="117" t="inlineStr">
        <is>
          <t>MP*LOTERIASONLINEO4M4</t>
        </is>
      </c>
      <c r="D31" s="118" t="n">
        <v>206</v>
      </c>
      <c r="E31" s="116" t="inlineStr">
        <is>
          <t>Loteria</t>
        </is>
      </c>
      <c r="F31" s="116" t="inlineStr">
        <is>
          <t>Sim</t>
        </is>
      </c>
      <c r="G31" s="116" t="inlineStr">
        <is>
          <t>MP Cartão</t>
        </is>
      </c>
      <c r="H31" s="116" t="n">
        <v>28</v>
      </c>
    </row>
    <row r="32">
      <c r="A32" s="113" t="inlineStr">
        <is>
          <t>2026-02-14</t>
        </is>
      </c>
      <c r="B32" s="113" t="inlineStr">
        <is>
          <t>2026-03</t>
        </is>
      </c>
      <c r="C32" s="114" t="inlineStr">
        <is>
          <t>MP*LOTERIASONLINEOBUG</t>
        </is>
      </c>
      <c r="D32" s="115" t="n">
        <v>168</v>
      </c>
      <c r="E32" s="113" t="inlineStr">
        <is>
          <t>Loteria</t>
        </is>
      </c>
      <c r="F32" s="113" t="inlineStr">
        <is>
          <t>Sim</t>
        </is>
      </c>
      <c r="G32" s="113" t="inlineStr">
        <is>
          <t>MP Cartão</t>
        </is>
      </c>
      <c r="H32" s="113" t="n">
        <v>29</v>
      </c>
    </row>
    <row r="33">
      <c r="A33" s="116" t="inlineStr">
        <is>
          <t>2026-02-16</t>
        </is>
      </c>
      <c r="B33" s="116" t="inlineStr">
        <is>
          <t>2026-03</t>
        </is>
      </c>
      <c r="C33" s="117" t="inlineStr">
        <is>
          <t>DL *Starlink Brazil</t>
        </is>
      </c>
      <c r="D33" s="118" t="n">
        <v>235.52</v>
      </c>
      <c r="E33" s="116" t="inlineStr">
        <is>
          <t>Internet</t>
        </is>
      </c>
      <c r="F33" s="116" t="inlineStr">
        <is>
          <t>Sim</t>
        </is>
      </c>
      <c r="G33" s="116" t="inlineStr">
        <is>
          <t>MP Cartão</t>
        </is>
      </c>
      <c r="H33" s="116" t="n">
        <v>30</v>
      </c>
    </row>
    <row r="34">
      <c r="A34" s="113" t="inlineStr">
        <is>
          <t>2026-02-17</t>
        </is>
      </c>
      <c r="B34" s="113" t="inlineStr">
        <is>
          <t>2026-03</t>
        </is>
      </c>
      <c r="C34" s="114" t="inlineStr">
        <is>
          <t>Compra internacional em OPENAI *CHATGPT SUBSCR</t>
        </is>
      </c>
      <c r="D34" s="115" t="n">
        <v>108.27</v>
      </c>
      <c r="E34" s="113" t="inlineStr">
        <is>
          <t>IA/Tecnologia</t>
        </is>
      </c>
      <c r="F34" s="113" t="inlineStr">
        <is>
          <t>Sim</t>
        </is>
      </c>
      <c r="G34" s="113" t="inlineStr">
        <is>
          <t>MP Cartão</t>
        </is>
      </c>
      <c r="H34" s="113" t="n">
        <v>31</v>
      </c>
    </row>
    <row r="35">
      <c r="A35" s="116" t="inlineStr">
        <is>
          <t>2026-02-18</t>
        </is>
      </c>
      <c r="B35" s="116" t="inlineStr">
        <is>
          <t>2026-03</t>
        </is>
      </c>
      <c r="C35" s="117" t="inlineStr">
        <is>
          <t>MP*LOTERIASONLINEFEG2</t>
        </is>
      </c>
      <c r="D35" s="118" t="n">
        <v>168</v>
      </c>
      <c r="E35" s="116" t="inlineStr">
        <is>
          <t>Loteria</t>
        </is>
      </c>
      <c r="F35" s="116" t="inlineStr">
        <is>
          <t>Não</t>
        </is>
      </c>
      <c r="G35" s="116" t="inlineStr">
        <is>
          <t>MP Cartão</t>
        </is>
      </c>
      <c r="H35" s="116" t="n">
        <v>32</v>
      </c>
    </row>
    <row r="36">
      <c r="A36" s="113" t="inlineStr">
        <is>
          <t>2026-02-21</t>
        </is>
      </c>
      <c r="B36" s="113" t="inlineStr">
        <is>
          <t>2026-03</t>
        </is>
      </c>
      <c r="C36" s="114" t="inlineStr">
        <is>
          <t>MP*LOTERIASONLINEU2WR</t>
        </is>
      </c>
      <c r="D36" s="115" t="n">
        <v>168</v>
      </c>
      <c r="E36" s="113" t="inlineStr">
        <is>
          <t>Loteria</t>
        </is>
      </c>
      <c r="F36" s="113" t="inlineStr">
        <is>
          <t>Sim</t>
        </is>
      </c>
      <c r="G36" s="113" t="inlineStr">
        <is>
          <t>MP Cartão</t>
        </is>
      </c>
      <c r="H36" s="113" t="n">
        <v>33</v>
      </c>
    </row>
    <row r="37">
      <c r="A37" s="116" t="inlineStr">
        <is>
          <t>2026-02-21</t>
        </is>
      </c>
      <c r="B37" s="116" t="inlineStr">
        <is>
          <t>2026-03</t>
        </is>
      </c>
      <c r="C37" s="117" t="inlineStr">
        <is>
          <t>MP*LOTERIASONLINEQXFX</t>
        </is>
      </c>
      <c r="D37" s="118" t="n">
        <v>238</v>
      </c>
      <c r="E37" s="116" t="inlineStr">
        <is>
          <t>Loteria</t>
        </is>
      </c>
      <c r="F37" s="116" t="inlineStr">
        <is>
          <t>Sim</t>
        </is>
      </c>
      <c r="G37" s="116" t="inlineStr">
        <is>
          <t>MP Cartão</t>
        </is>
      </c>
      <c r="H37" s="116" t="n">
        <v>34</v>
      </c>
    </row>
    <row r="38">
      <c r="A38" s="113" t="inlineStr">
        <is>
          <t>2026-02-21</t>
        </is>
      </c>
      <c r="B38" s="113" t="inlineStr">
        <is>
          <t>2026-03</t>
        </is>
      </c>
      <c r="C38" s="114" t="inlineStr">
        <is>
          <t>Compra internacional em MANUS AI</t>
        </is>
      </c>
      <c r="D38" s="115" t="n">
        <v>538.2</v>
      </c>
      <c r="E38" s="113" t="inlineStr">
        <is>
          <t>IA/Tecnologia</t>
        </is>
      </c>
      <c r="F38" s="113" t="inlineStr">
        <is>
          <t>Sim</t>
        </is>
      </c>
      <c r="G38" s="113" t="inlineStr">
        <is>
          <t>MP Cartão</t>
        </is>
      </c>
      <c r="H38" s="113" t="n">
        <v>35</v>
      </c>
    </row>
    <row r="39">
      <c r="A39" s="116" t="inlineStr">
        <is>
          <t>2026-02-23</t>
        </is>
      </c>
      <c r="B39" s="116" t="inlineStr">
        <is>
          <t>2026-03</t>
        </is>
      </c>
      <c r="C39" s="117" t="inlineStr">
        <is>
          <t>MP*LOTERIASONLINEEIG7</t>
        </is>
      </c>
      <c r="D39" s="118" t="n">
        <v>140</v>
      </c>
      <c r="E39" s="116" t="inlineStr">
        <is>
          <t>Loteria</t>
        </is>
      </c>
      <c r="F39" s="116" t="inlineStr">
        <is>
          <t>Não</t>
        </is>
      </c>
      <c r="G39" s="116" t="inlineStr">
        <is>
          <t>MP Cartão</t>
        </is>
      </c>
      <c r="H39" s="116" t="n">
        <v>36</v>
      </c>
    </row>
    <row r="40">
      <c r="A40" s="113" t="inlineStr">
        <is>
          <t>2026-02-26</t>
        </is>
      </c>
      <c r="B40" s="113" t="inlineStr">
        <is>
          <t>2026-03</t>
        </is>
      </c>
      <c r="C40" s="114" t="inlineStr">
        <is>
          <t>MP*LOTERIASONLINEI4Q9</t>
        </is>
      </c>
      <c r="D40" s="115" t="n">
        <v>168</v>
      </c>
      <c r="E40" s="113" t="inlineStr">
        <is>
          <t>Loteria</t>
        </is>
      </c>
      <c r="F40" s="113" t="inlineStr">
        <is>
          <t>Não</t>
        </is>
      </c>
      <c r="G40" s="113" t="inlineStr">
        <is>
          <t>MP Cartão</t>
        </is>
      </c>
      <c r="H40" s="113" t="n">
        <v>37</v>
      </c>
    </row>
    <row r="41">
      <c r="A41" s="116" t="inlineStr">
        <is>
          <t>2026-02-27</t>
        </is>
      </c>
      <c r="B41" s="116" t="inlineStr">
        <is>
          <t>2026-03</t>
        </is>
      </c>
      <c r="C41" s="117" t="inlineStr">
        <is>
          <t>MP*LOTERIASONLINEYYRE</t>
        </is>
      </c>
      <c r="D41" s="118" t="n">
        <v>119</v>
      </c>
      <c r="E41" s="116" t="inlineStr">
        <is>
          <t>Loteria</t>
        </is>
      </c>
      <c r="F41" s="116" t="inlineStr">
        <is>
          <t>Não</t>
        </is>
      </c>
      <c r="G41" s="116" t="inlineStr">
        <is>
          <t>MP Cartão</t>
        </is>
      </c>
      <c r="H41" s="116" t="n">
        <v>38</v>
      </c>
    </row>
    <row r="42">
      <c r="A42" s="113" t="inlineStr">
        <is>
          <t>2026-02-28</t>
        </is>
      </c>
      <c r="B42" s="113" t="inlineStr">
        <is>
          <t>2026-03</t>
        </is>
      </c>
      <c r="C42" s="114" t="inlineStr">
        <is>
          <t>APPLECOMBILL</t>
        </is>
      </c>
      <c r="D42" s="115" t="n">
        <v>99.90000000000001</v>
      </c>
      <c r="E42" s="113" t="inlineStr">
        <is>
          <t>Assinatura</t>
        </is>
      </c>
      <c r="F42" s="113" t="inlineStr">
        <is>
          <t>Não</t>
        </is>
      </c>
      <c r="G42" s="113" t="inlineStr">
        <is>
          <t>MP Cartão</t>
        </is>
      </c>
      <c r="H42" s="113" t="n">
        <v>39</v>
      </c>
    </row>
    <row r="43">
      <c r="A43" s="116" t="inlineStr">
        <is>
          <t>2026-03-04</t>
        </is>
      </c>
      <c r="B43" s="116" t="inlineStr">
        <is>
          <t>2026-03</t>
        </is>
      </c>
      <c r="C43" s="117" t="inlineStr">
        <is>
          <t>MP*LOTERIASONLINEFL2P</t>
        </is>
      </c>
      <c r="D43" s="118" t="n">
        <v>221</v>
      </c>
      <c r="E43" s="116" t="inlineStr">
        <is>
          <t>Loteria</t>
        </is>
      </c>
      <c r="F43" s="116" t="inlineStr">
        <is>
          <t>Não</t>
        </is>
      </c>
      <c r="G43" s="116" t="inlineStr">
        <is>
          <t>MP Cartão</t>
        </is>
      </c>
      <c r="H43" s="116" t="n">
        <v>40</v>
      </c>
    </row>
    <row r="44">
      <c r="A44" s="113" t="inlineStr">
        <is>
          <t>2026-03-05</t>
        </is>
      </c>
      <c r="B44" s="113" t="inlineStr">
        <is>
          <t>2026-04</t>
        </is>
      </c>
      <c r="C44" s="114" t="inlineStr">
        <is>
          <t>Compra internacional em OPENAI *CHATGPT SUBSCR</t>
        </is>
      </c>
      <c r="D44" s="115" t="n">
        <v>108.47</v>
      </c>
      <c r="E44" s="113" t="inlineStr">
        <is>
          <t>IA/Tecnologia</t>
        </is>
      </c>
      <c r="F44" s="113" t="inlineStr">
        <is>
          <t>Sim</t>
        </is>
      </c>
      <c r="G44" s="113" t="inlineStr">
        <is>
          <t>MP Cartão</t>
        </is>
      </c>
      <c r="H44" s="113" t="n">
        <v>41</v>
      </c>
    </row>
    <row r="45">
      <c r="A45" s="116" t="inlineStr">
        <is>
          <t>2026-03-07</t>
        </is>
      </c>
      <c r="B45" s="116" t="inlineStr">
        <is>
          <t>2026-04</t>
        </is>
      </c>
      <c r="C45" s="117" t="inlineStr">
        <is>
          <t>MP*LOTERIASONLINEQPEZ</t>
        </is>
      </c>
      <c r="D45" s="118" t="n">
        <v>243</v>
      </c>
      <c r="E45" s="116" t="inlineStr">
        <is>
          <t>Loteria</t>
        </is>
      </c>
      <c r="F45" s="116" t="inlineStr">
        <is>
          <t>Não</t>
        </is>
      </c>
      <c r="G45" s="116" t="inlineStr">
        <is>
          <t>MP Cartão</t>
        </is>
      </c>
      <c r="H45" s="116" t="n">
        <v>42</v>
      </c>
    </row>
    <row r="46">
      <c r="A46" s="113" t="inlineStr">
        <is>
          <t>2026-03-07</t>
        </is>
      </c>
      <c r="B46" s="113" t="inlineStr">
        <is>
          <t>2026-04</t>
        </is>
      </c>
      <c r="C46" s="114" t="inlineStr">
        <is>
          <t>MP*LOTERIASONLINEQTKS</t>
        </is>
      </c>
      <c r="D46" s="115" t="n">
        <v>168</v>
      </c>
      <c r="E46" s="113" t="inlineStr">
        <is>
          <t>Loteria</t>
        </is>
      </c>
      <c r="F46" s="113" t="inlineStr">
        <is>
          <t>Não</t>
        </is>
      </c>
      <c r="G46" s="113" t="inlineStr">
        <is>
          <t>MP Cartão</t>
        </is>
      </c>
      <c r="H46" s="113" t="n">
        <v>43</v>
      </c>
    </row>
    <row r="47">
      <c r="A47" s="116" t="inlineStr">
        <is>
          <t>2026-03-08</t>
        </is>
      </c>
      <c r="B47" s="116" t="inlineStr">
        <is>
          <t>2026-04</t>
        </is>
      </c>
      <c r="C47" s="117" t="inlineStr">
        <is>
          <t>APPLECOMBILL</t>
        </is>
      </c>
      <c r="D47" s="118" t="n">
        <v>21.9</v>
      </c>
      <c r="E47" s="116" t="inlineStr">
        <is>
          <t>Assinatura</t>
        </is>
      </c>
      <c r="F47" s="116" t="inlineStr">
        <is>
          <t>Não</t>
        </is>
      </c>
      <c r="G47" s="116" t="inlineStr">
        <is>
          <t>MP Cartão</t>
        </is>
      </c>
      <c r="H47" s="116" t="n">
        <v>44</v>
      </c>
    </row>
    <row r="48">
      <c r="A48" s="113" t="inlineStr">
        <is>
          <t>2026-03-08</t>
        </is>
      </c>
      <c r="B48" s="113" t="inlineStr">
        <is>
          <t>2026-04</t>
        </is>
      </c>
      <c r="C48" s="114" t="inlineStr">
        <is>
          <t>MERCADOLIVRE*7PRODUTOS</t>
        </is>
      </c>
      <c r="D48" s="115" t="n">
        <v>453.64</v>
      </c>
      <c r="E48" s="113" t="inlineStr">
        <is>
          <t>Compras/ML</t>
        </is>
      </c>
      <c r="F48" s="113" t="inlineStr">
        <is>
          <t>Não</t>
        </is>
      </c>
      <c r="G48" s="113" t="inlineStr">
        <is>
          <t>MP Cartão</t>
        </is>
      </c>
      <c r="H48" s="113" t="n">
        <v>45</v>
      </c>
    </row>
    <row r="49">
      <c r="A49" s="116" t="inlineStr">
        <is>
          <t>2026-03-08</t>
        </is>
      </c>
      <c r="B49" s="116" t="inlineStr">
        <is>
          <t>2026-04</t>
        </is>
      </c>
      <c r="C49" s="117" t="inlineStr">
        <is>
          <t>Compra internacional em GITHUB, INC.</t>
        </is>
      </c>
      <c r="D49" s="118" t="n">
        <v>54.76</v>
      </c>
      <c r="E49" s="116" t="inlineStr">
        <is>
          <t>IA/Tecnologia</t>
        </is>
      </c>
      <c r="F49" s="116" t="inlineStr">
        <is>
          <t>Sim</t>
        </is>
      </c>
      <c r="G49" s="116" t="inlineStr">
        <is>
          <t>MP Cartão</t>
        </is>
      </c>
      <c r="H49" s="116" t="n">
        <v>46</v>
      </c>
    </row>
    <row r="50">
      <c r="A50" s="113" t="inlineStr">
        <is>
          <t>2026-03-09</t>
        </is>
      </c>
      <c r="B50" s="113" t="inlineStr">
        <is>
          <t>2026-04</t>
        </is>
      </c>
      <c r="C50" s="114" t="inlineStr">
        <is>
          <t>Compra internacional em GUMROAD* GUI RAMBO</t>
        </is>
      </c>
      <c r="D50" s="115" t="n">
        <v>10.9</v>
      </c>
      <c r="E50" s="113" t="inlineStr">
        <is>
          <t>Digital</t>
        </is>
      </c>
      <c r="F50" s="113" t="inlineStr">
        <is>
          <t>Sim</t>
        </is>
      </c>
      <c r="G50" s="113" t="inlineStr">
        <is>
          <t>MP Cartão</t>
        </is>
      </c>
      <c r="H50" s="113" t="n">
        <v>47</v>
      </c>
    </row>
    <row r="51">
      <c r="A51" s="116" t="inlineStr">
        <is>
          <t>2026-03-10</t>
        </is>
      </c>
      <c r="B51" s="116" t="inlineStr">
        <is>
          <t>2026-04</t>
        </is>
      </c>
      <c r="C51" s="117" t="inlineStr">
        <is>
          <t>Compra internacional em LAN AIRLINE</t>
        </is>
      </c>
      <c r="D51" s="118" t="n">
        <v>9036.83</v>
      </c>
      <c r="E51" s="116" t="inlineStr">
        <is>
          <t>Viagem</t>
        </is>
      </c>
      <c r="F51" s="116" t="inlineStr">
        <is>
          <t>Sim</t>
        </is>
      </c>
      <c r="G51" s="116" t="inlineStr">
        <is>
          <t>MP Cartão</t>
        </is>
      </c>
      <c r="H51" s="116" t="n">
        <v>48</v>
      </c>
    </row>
    <row r="52">
      <c r="A52" s="113" t="inlineStr">
        <is>
          <t>2026-03-10</t>
        </is>
      </c>
      <c r="B52" s="113" t="inlineStr">
        <is>
          <t>2026-04</t>
        </is>
      </c>
      <c r="C52" s="114" t="inlineStr">
        <is>
          <t>APPLECOMBILL</t>
        </is>
      </c>
      <c r="D52" s="115" t="n">
        <v>19.9</v>
      </c>
      <c r="E52" s="113" t="inlineStr">
        <is>
          <t>Assinatura</t>
        </is>
      </c>
      <c r="F52" s="113" t="inlineStr">
        <is>
          <t>Não</t>
        </is>
      </c>
      <c r="G52" s="113" t="inlineStr">
        <is>
          <t>MP Cartão</t>
        </is>
      </c>
      <c r="H52" s="113" t="n">
        <v>49</v>
      </c>
    </row>
    <row r="53">
      <c r="A53" s="116" t="inlineStr">
        <is>
          <t>2026-03-10</t>
        </is>
      </c>
      <c r="B53" s="116" t="inlineStr">
        <is>
          <t>2026-04</t>
        </is>
      </c>
      <c r="C53" s="117" t="inlineStr">
        <is>
          <t>Compra internacional em OPENROUTER, INC</t>
        </is>
      </c>
      <c r="D53" s="118" t="n">
        <v>113.78</v>
      </c>
      <c r="E53" s="116" t="inlineStr">
        <is>
          <t>Outros</t>
        </is>
      </c>
      <c r="F53" s="116" t="inlineStr">
        <is>
          <t>Sim</t>
        </is>
      </c>
      <c r="G53" s="116" t="inlineStr">
        <is>
          <t>MP Cartão</t>
        </is>
      </c>
      <c r="H53" s="116" t="n">
        <v>50</v>
      </c>
    </row>
    <row r="54">
      <c r="A54" s="113" t="inlineStr">
        <is>
          <t>2026-03-11</t>
        </is>
      </c>
      <c r="B54" s="113" t="inlineStr">
        <is>
          <t>2026-04</t>
        </is>
      </c>
      <c r="C54" s="114" t="inlineStr">
        <is>
          <t>IFD*iFood</t>
        </is>
      </c>
      <c r="D54" s="115" t="n">
        <v>7.95</v>
      </c>
      <c r="E54" s="113" t="inlineStr">
        <is>
          <t>Delivery/iFood</t>
        </is>
      </c>
      <c r="F54" s="113" t="inlineStr">
        <is>
          <t>Não</t>
        </is>
      </c>
      <c r="G54" s="113" t="inlineStr">
        <is>
          <t>MP Cartão</t>
        </is>
      </c>
      <c r="H54" s="113" t="n">
        <v>51</v>
      </c>
    </row>
    <row r="55">
      <c r="A55" s="116" t="inlineStr">
        <is>
          <t>2026-03-12</t>
        </is>
      </c>
      <c r="B55" s="116" t="inlineStr">
        <is>
          <t>2026-04</t>
        </is>
      </c>
      <c r="C55" s="117" t="inlineStr">
        <is>
          <t>MP*LOTERIASONLINEP6LJ</t>
        </is>
      </c>
      <c r="D55" s="118" t="n">
        <v>104</v>
      </c>
      <c r="E55" s="116" t="inlineStr">
        <is>
          <t>Loteria</t>
        </is>
      </c>
      <c r="F55" s="116" t="inlineStr">
        <is>
          <t>Não</t>
        </is>
      </c>
      <c r="G55" s="116" t="inlineStr">
        <is>
          <t>MP Cartão</t>
        </is>
      </c>
      <c r="H55" s="116" t="n">
        <v>52</v>
      </c>
    </row>
    <row r="56">
      <c r="A56" s="113" t="inlineStr">
        <is>
          <t>2026-03-12</t>
        </is>
      </c>
      <c r="B56" s="113" t="inlineStr">
        <is>
          <t>2026-04</t>
        </is>
      </c>
      <c r="C56" s="114" t="inlineStr">
        <is>
          <t>MP*LOTERIASONLINEPA19</t>
        </is>
      </c>
      <c r="D56" s="115" t="n">
        <v>168</v>
      </c>
      <c r="E56" s="113" t="inlineStr">
        <is>
          <t>Loteria</t>
        </is>
      </c>
      <c r="F56" s="113" t="inlineStr">
        <is>
          <t>Não</t>
        </is>
      </c>
      <c r="G56" s="113" t="inlineStr">
        <is>
          <t>MP Cartão</t>
        </is>
      </c>
      <c r="H56" s="113" t="n">
        <v>53</v>
      </c>
    </row>
    <row r="57">
      <c r="A57" s="116" t="inlineStr">
        <is>
          <t>2026-03-13</t>
        </is>
      </c>
      <c r="B57" s="116" t="inlineStr">
        <is>
          <t>2026-04</t>
        </is>
      </c>
      <c r="C57" s="117" t="inlineStr">
        <is>
          <t>MP*LOTERIASONLINEJSZ1</t>
        </is>
      </c>
      <c r="D57" s="118" t="n">
        <v>73.5</v>
      </c>
      <c r="E57" s="116" t="inlineStr">
        <is>
          <t>Loteria</t>
        </is>
      </c>
      <c r="F57" s="116" t="inlineStr">
        <is>
          <t>Sim</t>
        </is>
      </c>
      <c r="G57" s="116" t="inlineStr">
        <is>
          <t>MP Cartão</t>
        </is>
      </c>
      <c r="H57" s="116" t="n">
        <v>54</v>
      </c>
    </row>
    <row r="58">
      <c r="A58" s="113" t="inlineStr">
        <is>
          <t>2026-03-13</t>
        </is>
      </c>
      <c r="B58" s="113" t="inlineStr">
        <is>
          <t>2026-04</t>
        </is>
      </c>
      <c r="C58" s="114" t="inlineStr">
        <is>
          <t>MP*LOTERIASONLINEJX1C</t>
        </is>
      </c>
      <c r="D58" s="115" t="n">
        <v>168</v>
      </c>
      <c r="E58" s="113" t="inlineStr">
        <is>
          <t>Loteria</t>
        </is>
      </c>
      <c r="F58" s="113" t="inlineStr">
        <is>
          <t>Sim</t>
        </is>
      </c>
      <c r="G58" s="113" t="inlineStr">
        <is>
          <t>MP Cartão</t>
        </is>
      </c>
      <c r="H58" s="113" t="n">
        <v>55</v>
      </c>
    </row>
    <row r="59">
      <c r="A59" s="116" t="inlineStr">
        <is>
          <t>2026-03-14</t>
        </is>
      </c>
      <c r="B59" s="116" t="inlineStr">
        <is>
          <t>2026-04</t>
        </is>
      </c>
      <c r="C59" s="117" t="inlineStr">
        <is>
          <t>STARLINK INTERNET</t>
        </is>
      </c>
      <c r="D59" s="118" t="n">
        <v>235.52</v>
      </c>
      <c r="E59" s="116" t="inlineStr">
        <is>
          <t>Internet</t>
        </is>
      </c>
      <c r="F59" s="116" t="inlineStr">
        <is>
          <t>Sim</t>
        </is>
      </c>
      <c r="G59" s="116" t="inlineStr">
        <is>
          <t>MP Cartão</t>
        </is>
      </c>
      <c r="H59" s="116" t="n">
        <v>56</v>
      </c>
    </row>
    <row r="60">
      <c r="A60" s="113" t="inlineStr">
        <is>
          <t>2026-03-15</t>
        </is>
      </c>
      <c r="B60" s="113" t="inlineStr">
        <is>
          <t>2026-04</t>
        </is>
      </c>
      <c r="C60" s="114" t="inlineStr">
        <is>
          <t>MERCADOLIVRE*3PRODUTOS</t>
        </is>
      </c>
      <c r="D60" s="115" t="n">
        <v>510.37</v>
      </c>
      <c r="E60" s="113" t="inlineStr">
        <is>
          <t>Compras/ML</t>
        </is>
      </c>
      <c r="F60" s="113" t="inlineStr">
        <is>
          <t>Sim</t>
        </is>
      </c>
      <c r="G60" s="113" t="inlineStr">
        <is>
          <t>MP Cartão</t>
        </is>
      </c>
      <c r="H60" s="113" t="n">
        <v>57</v>
      </c>
    </row>
    <row r="61">
      <c r="A61" s="116" t="inlineStr">
        <is>
          <t>2026-03-16</t>
        </is>
      </c>
      <c r="B61" s="116" t="inlineStr">
        <is>
          <t>2026-04</t>
        </is>
      </c>
      <c r="C61" s="117" t="inlineStr">
        <is>
          <t>Compra internacional em ALLIANZ EVENT INS</t>
        </is>
      </c>
      <c r="D61" s="118" t="n">
        <v>478.17</v>
      </c>
      <c r="E61" s="116" t="inlineStr">
        <is>
          <t>Outros</t>
        </is>
      </c>
      <c r="F61" s="116" t="inlineStr">
        <is>
          <t>Sim</t>
        </is>
      </c>
      <c r="G61" s="116" t="inlineStr">
        <is>
          <t>MP Cartão</t>
        </is>
      </c>
      <c r="H61" s="116" t="n">
        <v>58</v>
      </c>
    </row>
    <row r="62">
      <c r="A62" s="113" t="inlineStr">
        <is>
          <t>2026-03-17</t>
        </is>
      </c>
      <c r="B62" s="113" t="inlineStr">
        <is>
          <t>2026-04</t>
        </is>
      </c>
      <c r="C62" s="114" t="inlineStr">
        <is>
          <t>Compra internacional em OPENAI *CHATGPT SUBSCR</t>
        </is>
      </c>
      <c r="D62" s="115" t="n">
        <v>108.89</v>
      </c>
      <c r="E62" s="113" t="inlineStr">
        <is>
          <t>IA/Tecnologia</t>
        </is>
      </c>
      <c r="F62" s="113" t="inlineStr">
        <is>
          <t>Sim</t>
        </is>
      </c>
      <c r="G62" s="113" t="inlineStr">
        <is>
          <t>MP Cartão</t>
        </is>
      </c>
      <c r="H62" s="113" t="n">
        <v>59</v>
      </c>
    </row>
    <row r="63">
      <c r="A63" s="116" t="inlineStr">
        <is>
          <t>2026-03-18</t>
        </is>
      </c>
      <c r="B63" s="116" t="inlineStr">
        <is>
          <t>2026-04</t>
        </is>
      </c>
      <c r="C63" s="117" t="inlineStr">
        <is>
          <t>MP*LOTERIASONLINENI9I</t>
        </is>
      </c>
      <c r="D63" s="118" t="n">
        <v>267</v>
      </c>
      <c r="E63" s="116" t="inlineStr">
        <is>
          <t>Loteria</t>
        </is>
      </c>
      <c r="F63" s="116" t="inlineStr">
        <is>
          <t>Sim</t>
        </is>
      </c>
      <c r="G63" s="116" t="inlineStr">
        <is>
          <t>MP Cartão</t>
        </is>
      </c>
      <c r="H63" s="116" t="n">
        <v>60</v>
      </c>
    </row>
    <row r="64">
      <c r="A64" s="113" t="inlineStr">
        <is>
          <t>2026-03-19</t>
        </is>
      </c>
      <c r="B64" s="113" t="inlineStr">
        <is>
          <t>2026-04</t>
        </is>
      </c>
      <c r="C64" s="114" t="inlineStr">
        <is>
          <t>Compra internacional em INTERNET ARCHIVE</t>
        </is>
      </c>
      <c r="D64" s="115" t="n">
        <v>53.93</v>
      </c>
      <c r="E64" s="113" t="inlineStr">
        <is>
          <t>Outros</t>
        </is>
      </c>
      <c r="F64" s="113" t="inlineStr">
        <is>
          <t>Sim</t>
        </is>
      </c>
      <c r="G64" s="113" t="inlineStr">
        <is>
          <t>MP Cartão</t>
        </is>
      </c>
      <c r="H64" s="113" t="n">
        <v>61</v>
      </c>
    </row>
    <row r="65">
      <c r="A65" s="116" t="inlineStr">
        <is>
          <t>2026-03-19</t>
        </is>
      </c>
      <c r="B65" s="116" t="inlineStr">
        <is>
          <t>2026-04</t>
        </is>
      </c>
      <c r="C65" s="117" t="inlineStr">
        <is>
          <t>MP*LOTERIASONLINEU38A</t>
        </is>
      </c>
      <c r="D65" s="118" t="n">
        <v>119</v>
      </c>
      <c r="E65" s="116" t="inlineStr">
        <is>
          <t>Loteria</t>
        </is>
      </c>
      <c r="F65" s="116" t="inlineStr">
        <is>
          <t>Sim</t>
        </is>
      </c>
      <c r="G65" s="116" t="inlineStr">
        <is>
          <t>MP Cartão</t>
        </is>
      </c>
      <c r="H65" s="116" t="n">
        <v>62</v>
      </c>
    </row>
    <row r="66">
      <c r="A66" s="113" t="inlineStr">
        <is>
          <t>2026-03-20</t>
        </is>
      </c>
      <c r="B66" s="113" t="inlineStr">
        <is>
          <t>2026-04</t>
        </is>
      </c>
      <c r="C66" s="114" t="inlineStr">
        <is>
          <t>EC*GOOGLEBRASILPAGAMEN</t>
        </is>
      </c>
      <c r="D66" s="115" t="n">
        <v>96.98999999999999</v>
      </c>
      <c r="E66" s="113" t="inlineStr">
        <is>
          <t>Assinatura</t>
        </is>
      </c>
      <c r="F66" s="113" t="inlineStr">
        <is>
          <t>Sim</t>
        </is>
      </c>
      <c r="G66" s="113" t="inlineStr">
        <is>
          <t>MP Cartão</t>
        </is>
      </c>
      <c r="H66" s="113" t="n">
        <v>63</v>
      </c>
    </row>
    <row r="67">
      <c r="A67" s="116" t="inlineStr">
        <is>
          <t>2026-03-21</t>
        </is>
      </c>
      <c r="B67" s="116" t="inlineStr">
        <is>
          <t>2026-04</t>
        </is>
      </c>
      <c r="C67" s="117" t="inlineStr">
        <is>
          <t>MERCADOLIVRE*5PRODUTOS</t>
        </is>
      </c>
      <c r="D67" s="118" t="n">
        <v>119.73</v>
      </c>
      <c r="E67" s="116" t="inlineStr">
        <is>
          <t>Compras/ML</t>
        </is>
      </c>
      <c r="F67" s="116" t="inlineStr">
        <is>
          <t>Sim</t>
        </is>
      </c>
      <c r="G67" s="116" t="inlineStr">
        <is>
          <t>MP Cartão</t>
        </is>
      </c>
      <c r="H67" s="116" t="n">
        <v>64</v>
      </c>
    </row>
    <row r="68">
      <c r="A68" s="113" t="inlineStr">
        <is>
          <t>2026-03-21</t>
        </is>
      </c>
      <c r="B68" s="113" t="inlineStr">
        <is>
          <t>2026-04</t>
        </is>
      </c>
      <c r="C68" s="114" t="inlineStr">
        <is>
          <t>Compra internacional em MANUS AI</t>
        </is>
      </c>
      <c r="D68" s="115" t="n">
        <v>546.48</v>
      </c>
      <c r="E68" s="113" t="inlineStr">
        <is>
          <t>IA/Tecnologia</t>
        </is>
      </c>
      <c r="F68" s="113" t="inlineStr">
        <is>
          <t>Sim</t>
        </is>
      </c>
      <c r="G68" s="113" t="inlineStr">
        <is>
          <t>MP Cartão</t>
        </is>
      </c>
      <c r="H68" s="113" t="n">
        <v>65</v>
      </c>
    </row>
    <row r="69">
      <c r="A69" s="116" t="inlineStr">
        <is>
          <t>2026-03-23</t>
        </is>
      </c>
      <c r="B69" s="116" t="inlineStr">
        <is>
          <t>2026-04</t>
        </is>
      </c>
      <c r="C69" s="117" t="inlineStr">
        <is>
          <t>MP*LOTERIASONLINE12Q6</t>
        </is>
      </c>
      <c r="D69" s="118" t="n">
        <v>107.5</v>
      </c>
      <c r="E69" s="116" t="inlineStr">
        <is>
          <t>Loteria</t>
        </is>
      </c>
      <c r="F69" s="116" t="inlineStr">
        <is>
          <t>Sim</t>
        </is>
      </c>
      <c r="G69" s="116" t="inlineStr">
        <is>
          <t>MP Cartão</t>
        </is>
      </c>
      <c r="H69" s="116" t="n">
        <v>66</v>
      </c>
    </row>
    <row r="70">
      <c r="A70" s="113" t="inlineStr">
        <is>
          <t>2026-03-26</t>
        </is>
      </c>
      <c r="B70" s="113" t="inlineStr">
        <is>
          <t>2026-04</t>
        </is>
      </c>
      <c r="C70" s="114" t="inlineStr">
        <is>
          <t>MP*LOTERIASONLINEWM4R</t>
        </is>
      </c>
      <c r="D70" s="115" t="n">
        <v>161</v>
      </c>
      <c r="E70" s="113" t="inlineStr">
        <is>
          <t>Loteria</t>
        </is>
      </c>
      <c r="F70" s="113" t="inlineStr">
        <is>
          <t>Sim</t>
        </is>
      </c>
      <c r="G70" s="113" t="inlineStr">
        <is>
          <t>MP Cartão</t>
        </is>
      </c>
      <c r="H70" s="113" t="n">
        <v>67</v>
      </c>
    </row>
    <row r="71">
      <c r="A71" s="116" t="inlineStr">
        <is>
          <t>2026-03-28</t>
        </is>
      </c>
      <c r="B71" s="116" t="inlineStr">
        <is>
          <t>2026-04</t>
        </is>
      </c>
      <c r="C71" s="117" t="inlineStr">
        <is>
          <t>MP*LOTERIASONLINEKBE8</t>
        </is>
      </c>
      <c r="D71" s="118" t="n">
        <v>168</v>
      </c>
      <c r="E71" s="116" t="inlineStr">
        <is>
          <t>Loteria</t>
        </is>
      </c>
      <c r="F71" s="116" t="inlineStr">
        <is>
          <t>Sim</t>
        </is>
      </c>
      <c r="G71" s="116" t="inlineStr">
        <is>
          <t>MP Cartão</t>
        </is>
      </c>
      <c r="H71" s="116" t="n">
        <v>68</v>
      </c>
    </row>
    <row r="72">
      <c r="A72" s="113" t="inlineStr">
        <is>
          <t>2026-03-28</t>
        </is>
      </c>
      <c r="B72" s="113" t="inlineStr">
        <is>
          <t>2026-04</t>
        </is>
      </c>
      <c r="C72" s="114" t="inlineStr">
        <is>
          <t>MP*LOTERIASONLINEKJOW</t>
        </is>
      </c>
      <c r="D72" s="115" t="n">
        <v>104</v>
      </c>
      <c r="E72" s="113" t="inlineStr">
        <is>
          <t>Loteria</t>
        </is>
      </c>
      <c r="F72" s="113" t="inlineStr">
        <is>
          <t>Sim</t>
        </is>
      </c>
      <c r="G72" s="113" t="inlineStr">
        <is>
          <t>MP Cartão</t>
        </is>
      </c>
      <c r="H72" s="113" t="n">
        <v>69</v>
      </c>
    </row>
    <row r="73">
      <c r="A73" s="116" t="inlineStr">
        <is>
          <t>2026-03-30</t>
        </is>
      </c>
      <c r="B73" s="116" t="inlineStr">
        <is>
          <t>2026-04</t>
        </is>
      </c>
      <c r="C73" s="117" t="inlineStr">
        <is>
          <t>Compra internacional em GROK XAI</t>
        </is>
      </c>
      <c r="D73" s="118" t="n">
        <v>81.36</v>
      </c>
      <c r="E73" s="116" t="inlineStr">
        <is>
          <t>Outros</t>
        </is>
      </c>
      <c r="F73" s="116" t="inlineStr">
        <is>
          <t>Sim</t>
        </is>
      </c>
      <c r="G73" s="116" t="inlineStr">
        <is>
          <t>MP Cartão</t>
        </is>
      </c>
      <c r="H73" s="116" t="n">
        <v>70</v>
      </c>
    </row>
    <row r="74">
      <c r="A74" s="113" t="inlineStr">
        <is>
          <t>2026-03-30</t>
        </is>
      </c>
      <c r="B74" s="113" t="inlineStr">
        <is>
          <t>2026-04</t>
        </is>
      </c>
      <c r="C74" s="114" t="inlineStr">
        <is>
          <t>APPLECOMBILL</t>
        </is>
      </c>
      <c r="D74" s="115" t="n">
        <v>99.90000000000001</v>
      </c>
      <c r="E74" s="113" t="inlineStr">
        <is>
          <t>Assinatura</t>
        </is>
      </c>
      <c r="F74" s="113" t="inlineStr">
        <is>
          <t>Não</t>
        </is>
      </c>
      <c r="G74" s="113" t="inlineStr">
        <is>
          <t>MP Cartão</t>
        </is>
      </c>
      <c r="H74" s="113" t="n">
        <v>71</v>
      </c>
    </row>
    <row r="75">
      <c r="A75" s="116" t="inlineStr">
        <is>
          <t>2026-04-01</t>
        </is>
      </c>
      <c r="B75" s="116" t="inlineStr">
        <is>
          <t>2026-04</t>
        </is>
      </c>
      <c r="C75" s="117" t="inlineStr">
        <is>
          <t>Compra internacional em CURSOR, AI POWERED IDE</t>
        </is>
      </c>
      <c r="D75" s="118" t="n">
        <v>111.81</v>
      </c>
      <c r="E75" s="116" t="inlineStr">
        <is>
          <t>IA/Tecnologia</t>
        </is>
      </c>
      <c r="F75" s="116" t="inlineStr">
        <is>
          <t>Sim</t>
        </is>
      </c>
      <c r="G75" s="116" t="inlineStr">
        <is>
          <t>MP Cartão</t>
        </is>
      </c>
      <c r="H75" s="116" t="n">
        <v>72</v>
      </c>
    </row>
    <row r="76">
      <c r="A76" s="113" t="inlineStr">
        <is>
          <t>2026-04-03</t>
        </is>
      </c>
      <c r="B76" s="113" t="inlineStr">
        <is>
          <t>2026-04</t>
        </is>
      </c>
      <c r="C76" s="114" t="inlineStr">
        <is>
          <t>STARLINK INTERNET</t>
        </is>
      </c>
      <c r="D76" s="115" t="n">
        <v>235.52</v>
      </c>
      <c r="E76" s="113" t="inlineStr">
        <is>
          <t>Internet</t>
        </is>
      </c>
      <c r="F76" s="113" t="inlineStr">
        <is>
          <t>Não</t>
        </is>
      </c>
      <c r="G76" s="113" t="inlineStr">
        <is>
          <t>MP Cartão</t>
        </is>
      </c>
      <c r="H76" s="113" t="n">
        <v>73</v>
      </c>
    </row>
    <row r="77">
      <c r="A77" s="116" t="inlineStr">
        <is>
          <t>2026-04-03</t>
        </is>
      </c>
      <c r="B77" s="116" t="inlineStr">
        <is>
          <t>2026-04</t>
        </is>
      </c>
      <c r="C77" s="117" t="inlineStr">
        <is>
          <t>MP*LOTERIASONLINEDVRW</t>
        </is>
      </c>
      <c r="D77" s="118" t="n">
        <v>336</v>
      </c>
      <c r="E77" s="116" t="inlineStr">
        <is>
          <t>Loteria</t>
        </is>
      </c>
      <c r="F77" s="116" t="inlineStr">
        <is>
          <t>Não</t>
        </is>
      </c>
      <c r="G77" s="116" t="inlineStr">
        <is>
          <t>MP Cartão</t>
        </is>
      </c>
      <c r="H77" s="116" t="n">
        <v>74</v>
      </c>
    </row>
    <row r="78">
      <c r="A78" s="113" t="inlineStr">
        <is>
          <t>2026-04-03</t>
        </is>
      </c>
      <c r="B78" s="113" t="inlineStr">
        <is>
          <t>2026-04</t>
        </is>
      </c>
      <c r="C78" s="114" t="inlineStr">
        <is>
          <t>IFD*MATTERELLO PIZZARI</t>
        </is>
      </c>
      <c r="D78" s="115" t="n">
        <v>165.69</v>
      </c>
      <c r="E78" s="113" t="inlineStr">
        <is>
          <t>Delivery/iFood</t>
        </is>
      </c>
      <c r="F78" s="113" t="inlineStr">
        <is>
          <t>Não</t>
        </is>
      </c>
      <c r="G78" s="113" t="inlineStr">
        <is>
          <t>MP Cartão</t>
        </is>
      </c>
      <c r="H78" s="113" t="n">
        <v>75</v>
      </c>
    </row>
    <row r="79">
      <c r="A79" s="116" t="inlineStr">
        <is>
          <t>2026-04-03</t>
        </is>
      </c>
      <c r="B79" s="116" t="inlineStr">
        <is>
          <t>2026-04</t>
        </is>
      </c>
      <c r="C79" s="117" t="inlineStr">
        <is>
          <t>MERCADOLIVRE*3PRODUTOS</t>
        </is>
      </c>
      <c r="D79" s="118" t="n">
        <v>602.9</v>
      </c>
      <c r="E79" s="116" t="inlineStr">
        <is>
          <t>Compras/ML</t>
        </is>
      </c>
      <c r="F79" s="116" t="inlineStr">
        <is>
          <t>Não</t>
        </is>
      </c>
      <c r="G79" s="116" t="inlineStr">
        <is>
          <t>MP Cartão</t>
        </is>
      </c>
      <c r="H79" s="116" t="n">
        <v>76</v>
      </c>
    </row>
    <row r="80">
      <c r="A80" s="113" t="inlineStr">
        <is>
          <t>2026-04-04</t>
        </is>
      </c>
      <c r="B80" s="113" t="inlineStr">
        <is>
          <t>2026-04</t>
        </is>
      </c>
      <c r="C80" s="114" t="inlineStr">
        <is>
          <t>MP*LOTERIASONLINE9CYW</t>
        </is>
      </c>
      <c r="D80" s="115" t="n">
        <v>89.5</v>
      </c>
      <c r="E80" s="113" t="inlineStr">
        <is>
          <t>Loteria</t>
        </is>
      </c>
      <c r="F80" s="113" t="inlineStr">
        <is>
          <t>Não</t>
        </is>
      </c>
      <c r="G80" s="113" t="inlineStr">
        <is>
          <t>MP Cartão</t>
        </is>
      </c>
      <c r="H80" s="113" t="n">
        <v>77</v>
      </c>
    </row>
    <row r="81">
      <c r="A81" s="116" t="inlineStr">
        <is>
          <t>2026-04-05</t>
        </is>
      </c>
      <c r="B81" s="116" t="inlineStr">
        <is>
          <t>2026-05</t>
        </is>
      </c>
      <c r="C81" s="117" t="inlineStr">
        <is>
          <t>Compra internacional em OPENAI *CHATGPT SUBSCR</t>
        </is>
      </c>
      <c r="D81" s="118" t="n">
        <v>107.02</v>
      </c>
      <c r="E81" s="116" t="inlineStr">
        <is>
          <t>IA/Tecnologia</t>
        </is>
      </c>
      <c r="F81" s="116" t="inlineStr">
        <is>
          <t>Sim</t>
        </is>
      </c>
      <c r="G81" s="116" t="inlineStr">
        <is>
          <t>MP Cartão</t>
        </is>
      </c>
      <c r="H81" s="116" t="n">
        <v>78</v>
      </c>
    </row>
    <row r="82">
      <c r="A82" s="113" t="inlineStr">
        <is>
          <t>2026-04-08</t>
        </is>
      </c>
      <c r="B82" s="113" t="inlineStr">
        <is>
          <t>2026-05</t>
        </is>
      </c>
      <c r="C82" s="114" t="inlineStr">
        <is>
          <t>APPLECOMBILL</t>
        </is>
      </c>
      <c r="D82" s="115" t="n">
        <v>21.9</v>
      </c>
      <c r="E82" s="113" t="inlineStr">
        <is>
          <t>Assinatura</t>
        </is>
      </c>
      <c r="F82" s="113" t="inlineStr">
        <is>
          <t>Sim</t>
        </is>
      </c>
      <c r="G82" s="113" t="inlineStr">
        <is>
          <t>MP Cartão</t>
        </is>
      </c>
      <c r="H82" s="113" t="n">
        <v>79</v>
      </c>
    </row>
    <row r="83">
      <c r="A83" s="116" t="inlineStr">
        <is>
          <t>2026-04-08</t>
        </is>
      </c>
      <c r="B83" s="116" t="inlineStr">
        <is>
          <t>2026-05</t>
        </is>
      </c>
      <c r="C83" s="117" t="inlineStr">
        <is>
          <t>Compra internacional em GITHUB, INC.</t>
        </is>
      </c>
      <c r="D83" s="118" t="n">
        <v>53.41</v>
      </c>
      <c r="E83" s="116" t="inlineStr">
        <is>
          <t>IA/Tecnologia</t>
        </is>
      </c>
      <c r="F83" s="116" t="inlineStr">
        <is>
          <t>Sim</t>
        </is>
      </c>
      <c r="G83" s="116" t="inlineStr">
        <is>
          <t>MP Cartão</t>
        </is>
      </c>
      <c r="H83" s="116" t="n">
        <v>80</v>
      </c>
    </row>
    <row r="84">
      <c r="A84" s="113" t="inlineStr">
        <is>
          <t>2026-04-10</t>
        </is>
      </c>
      <c r="B84" s="113" t="inlineStr">
        <is>
          <t>2026-05</t>
        </is>
      </c>
      <c r="C84" s="114" t="inlineStr">
        <is>
          <t>APPLECOMBILL</t>
        </is>
      </c>
      <c r="D84" s="115" t="n">
        <v>19.9</v>
      </c>
      <c r="E84" s="113" t="inlineStr">
        <is>
          <t>Assinatura</t>
        </is>
      </c>
      <c r="F84" s="113" t="inlineStr">
        <is>
          <t>Não</t>
        </is>
      </c>
      <c r="G84" s="113" t="inlineStr">
        <is>
          <t>MP Cartão</t>
        </is>
      </c>
      <c r="H84" s="113" t="n">
        <v>81</v>
      </c>
    </row>
    <row r="85">
      <c r="A85" s="116" t="inlineStr">
        <is>
          <t>2026-04-11</t>
        </is>
      </c>
      <c r="B85" s="116" t="inlineStr">
        <is>
          <t>2026-05</t>
        </is>
      </c>
      <c r="C85" s="117" t="inlineStr">
        <is>
          <t>IFD*iFood</t>
        </is>
      </c>
      <c r="D85" s="118" t="n">
        <v>7.95</v>
      </c>
      <c r="E85" s="116" t="inlineStr">
        <is>
          <t>Delivery/iFood</t>
        </is>
      </c>
      <c r="F85" s="116" t="inlineStr">
        <is>
          <t>Não</t>
        </is>
      </c>
      <c r="G85" s="116" t="inlineStr">
        <is>
          <t>MP Cartão</t>
        </is>
      </c>
      <c r="H85" s="116" t="n">
        <v>82</v>
      </c>
    </row>
    <row r="86">
      <c r="A86" s="113" t="inlineStr">
        <is>
          <t>2026-04-16</t>
        </is>
      </c>
      <c r="B86" s="113" t="inlineStr">
        <is>
          <t>2026-05</t>
        </is>
      </c>
      <c r="C86" s="114" t="inlineStr">
        <is>
          <t>MP*LOTERIASONLINE2FE1</t>
        </is>
      </c>
      <c r="D86" s="115" t="n">
        <v>168</v>
      </c>
      <c r="E86" s="113" t="inlineStr">
        <is>
          <t>Loteria</t>
        </is>
      </c>
      <c r="F86" s="113" t="inlineStr">
        <is>
          <t>Não</t>
        </is>
      </c>
      <c r="G86" s="113" t="inlineStr">
        <is>
          <t>MP Cartão</t>
        </is>
      </c>
      <c r="H86" s="113" t="n">
        <v>83</v>
      </c>
    </row>
    <row r="87">
      <c r="A87" s="116" t="inlineStr">
        <is>
          <t>2026-04-16</t>
        </is>
      </c>
      <c r="B87" s="116" t="inlineStr">
        <is>
          <t>2026-05</t>
        </is>
      </c>
      <c r="C87" s="117" t="inlineStr">
        <is>
          <t>MP*LOTERIASONLINE34H0</t>
        </is>
      </c>
      <c r="D87" s="118" t="n">
        <v>100.5</v>
      </c>
      <c r="E87" s="116" t="inlineStr">
        <is>
          <t>Loteria</t>
        </is>
      </c>
      <c r="F87" s="116" t="inlineStr">
        <is>
          <t>Não</t>
        </is>
      </c>
      <c r="G87" s="116" t="inlineStr">
        <is>
          <t>MP Cartão</t>
        </is>
      </c>
      <c r="H87" s="116" t="n">
        <v>84</v>
      </c>
    </row>
    <row r="88">
      <c r="A88" s="113" t="inlineStr">
        <is>
          <t>2026-04-16</t>
        </is>
      </c>
      <c r="B88" s="113" t="inlineStr">
        <is>
          <t>2026-05</t>
        </is>
      </c>
      <c r="C88" s="114" t="inlineStr">
        <is>
          <t>MERCADOLIVRE*MERCADOLI</t>
        </is>
      </c>
      <c r="D88" s="115" t="n">
        <v>72.89</v>
      </c>
      <c r="E88" s="113" t="inlineStr">
        <is>
          <t>Compras/ML</t>
        </is>
      </c>
      <c r="F88" s="113" t="inlineStr">
        <is>
          <t>Não</t>
        </is>
      </c>
      <c r="G88" s="113" t="inlineStr">
        <is>
          <t>MP Cartão</t>
        </is>
      </c>
      <c r="H88" s="113" t="n">
        <v>85</v>
      </c>
    </row>
    <row r="89">
      <c r="A89" s="116" t="inlineStr">
        <is>
          <t>2026-04-17</t>
        </is>
      </c>
      <c r="B89" s="116" t="inlineStr">
        <is>
          <t>2026-05</t>
        </is>
      </c>
      <c r="C89" s="117" t="inlineStr">
        <is>
          <t>Compra internacional em OPENAI *CHATGPT SUBSCR</t>
        </is>
      </c>
      <c r="D89" s="118" t="n">
        <v>103.5</v>
      </c>
      <c r="E89" s="116" t="inlineStr">
        <is>
          <t>IA/Tecnologia</t>
        </is>
      </c>
      <c r="F89" s="116" t="inlineStr">
        <is>
          <t>Sim</t>
        </is>
      </c>
      <c r="G89" s="116" t="inlineStr">
        <is>
          <t>MP Cartão</t>
        </is>
      </c>
      <c r="H89" s="116" t="n">
        <v>86</v>
      </c>
    </row>
    <row r="90">
      <c r="A90" s="113" t="inlineStr">
        <is>
          <t>2026-04-20</t>
        </is>
      </c>
      <c r="B90" s="113" t="inlineStr">
        <is>
          <t>2026-05</t>
        </is>
      </c>
      <c r="C90" s="114" t="inlineStr">
        <is>
          <t>IFD*JURASSIC PIZZA BES</t>
        </is>
      </c>
      <c r="D90" s="115" t="n">
        <v>74.88</v>
      </c>
      <c r="E90" s="113" t="inlineStr">
        <is>
          <t>Delivery/iFood</t>
        </is>
      </c>
      <c r="F90" s="113" t="inlineStr">
        <is>
          <t>Não</t>
        </is>
      </c>
      <c r="G90" s="113" t="inlineStr">
        <is>
          <t>MP Cartão</t>
        </is>
      </c>
      <c r="H90" s="113" t="n">
        <v>87</v>
      </c>
    </row>
    <row r="91">
      <c r="A91" s="116" t="inlineStr">
        <is>
          <t>2026-04-20</t>
        </is>
      </c>
      <c r="B91" s="116" t="inlineStr">
        <is>
          <t>2026-05</t>
        </is>
      </c>
      <c r="C91" s="117" t="inlineStr">
        <is>
          <t>MICROSOFT*STORE</t>
        </is>
      </c>
      <c r="D91" s="118" t="n">
        <v>509</v>
      </c>
      <c r="E91" s="116" t="inlineStr">
        <is>
          <t>Outros</t>
        </is>
      </c>
      <c r="F91" s="116" t="inlineStr">
        <is>
          <t>Não</t>
        </is>
      </c>
      <c r="G91" s="116" t="inlineStr">
        <is>
          <t>MP Cartão</t>
        </is>
      </c>
      <c r="H91" s="116" t="n">
        <v>88</v>
      </c>
    </row>
    <row r="92">
      <c r="A92" s="113" t="inlineStr">
        <is>
          <t>2026-04-21</t>
        </is>
      </c>
      <c r="B92" s="113" t="inlineStr">
        <is>
          <t>2026-05</t>
        </is>
      </c>
      <c r="C92" s="114" t="inlineStr">
        <is>
          <t>MERCADOLIVRE*PKFLEXLTDA</t>
        </is>
      </c>
      <c r="D92" s="115" t="n">
        <v>111.83</v>
      </c>
      <c r="E92" s="113" t="inlineStr">
        <is>
          <t>Compras/ML</t>
        </is>
      </c>
      <c r="F92" s="113" t="inlineStr">
        <is>
          <t>Sim</t>
        </is>
      </c>
      <c r="G92" s="113" t="inlineStr">
        <is>
          <t>MP Cartão</t>
        </is>
      </c>
      <c r="H92" s="113" t="n">
        <v>89</v>
      </c>
    </row>
    <row r="93">
      <c r="A93" s="116" t="inlineStr">
        <is>
          <t>2026-04-21</t>
        </is>
      </c>
      <c r="B93" s="116" t="inlineStr">
        <is>
          <t>2026-05</t>
        </is>
      </c>
      <c r="C93" s="117" t="inlineStr">
        <is>
          <t>Compra internacional em MANUS AI</t>
        </is>
      </c>
      <c r="D93" s="118" t="n">
        <v>515.4299999999999</v>
      </c>
      <c r="E93" s="116" t="inlineStr">
        <is>
          <t>IA/Tecnologia</t>
        </is>
      </c>
      <c r="F93" s="116" t="inlineStr">
        <is>
          <t>Sim</t>
        </is>
      </c>
      <c r="G93" s="116" t="inlineStr">
        <is>
          <t>MP Cartão</t>
        </is>
      </c>
      <c r="H93" s="116" t="n">
        <v>90</v>
      </c>
    </row>
    <row r="94">
      <c r="A94" s="113" t="inlineStr">
        <is>
          <t>2026-04-22</t>
        </is>
      </c>
      <c r="B94" s="113" t="inlineStr">
        <is>
          <t>2026-05</t>
        </is>
      </c>
      <c r="C94" s="114" t="inlineStr">
        <is>
          <t>MP*EDUARDOGIOVAN</t>
        </is>
      </c>
      <c r="D94" s="115" t="n">
        <v>201.72</v>
      </c>
      <c r="E94" s="113" t="inlineStr">
        <is>
          <t>Outros</t>
        </is>
      </c>
      <c r="F94" s="113" t="inlineStr">
        <is>
          <t>Sim</t>
        </is>
      </c>
      <c r="G94" s="113" t="inlineStr">
        <is>
          <t>MP Cartão</t>
        </is>
      </c>
      <c r="H94" s="113" t="n">
        <v>91</v>
      </c>
    </row>
    <row r="95">
      <c r="A95" s="116" t="inlineStr">
        <is>
          <t>2026-04-23</t>
        </is>
      </c>
      <c r="B95" s="116" t="inlineStr">
        <is>
          <t>2026-05</t>
        </is>
      </c>
      <c r="C95" s="117" t="inlineStr">
        <is>
          <t>Compra internacional em CLOUDFLARE</t>
        </is>
      </c>
      <c r="D95" s="118" t="n">
        <v>107.61</v>
      </c>
      <c r="E95" s="116" t="inlineStr">
        <is>
          <t>IA/Tecnologia</t>
        </is>
      </c>
      <c r="F95" s="116" t="inlineStr">
        <is>
          <t>Sim</t>
        </is>
      </c>
      <c r="G95" s="116" t="inlineStr">
        <is>
          <t>MP Cartão</t>
        </is>
      </c>
      <c r="H95" s="116" t="n">
        <v>92</v>
      </c>
    </row>
    <row r="96">
      <c r="A96" s="113" t="inlineStr">
        <is>
          <t>2026-04-23</t>
        </is>
      </c>
      <c r="B96" s="113" t="inlineStr">
        <is>
          <t>2026-05</t>
        </is>
      </c>
      <c r="C96" s="114" t="inlineStr">
        <is>
          <t>UBER * PENDING</t>
        </is>
      </c>
      <c r="D96" s="115" t="n">
        <v>8.140000000000001</v>
      </c>
      <c r="E96" s="113" t="inlineStr">
        <is>
          <t>Transporte</t>
        </is>
      </c>
      <c r="F96" s="113" t="inlineStr">
        <is>
          <t>Sim</t>
        </is>
      </c>
      <c r="G96" s="113" t="inlineStr">
        <is>
          <t>MP Cartão</t>
        </is>
      </c>
      <c r="H96" s="113" t="n">
        <v>93</v>
      </c>
    </row>
    <row r="97">
      <c r="A97" s="116" t="inlineStr">
        <is>
          <t>2026-04-23</t>
        </is>
      </c>
      <c r="B97" s="116" t="inlineStr">
        <is>
          <t>2026-05</t>
        </is>
      </c>
      <c r="C97" s="117" t="inlineStr">
        <is>
          <t>MP*LOTERIASONLINE72W6</t>
        </is>
      </c>
      <c r="D97" s="118" t="n">
        <v>336</v>
      </c>
      <c r="E97" s="116" t="inlineStr">
        <is>
          <t>Loteria</t>
        </is>
      </c>
      <c r="F97" s="116" t="inlineStr">
        <is>
          <t>Sim</t>
        </is>
      </c>
      <c r="G97" s="116" t="inlineStr">
        <is>
          <t>MP Cartão</t>
        </is>
      </c>
      <c r="H97" s="116" t="n">
        <v>94</v>
      </c>
    </row>
    <row r="98">
      <c r="A98" s="113" t="inlineStr">
        <is>
          <t>2026-04-24</t>
        </is>
      </c>
      <c r="B98" s="113" t="inlineStr">
        <is>
          <t>2026-05</t>
        </is>
      </c>
      <c r="C98" s="114" t="inlineStr">
        <is>
          <t>APPLE.COM/BILL.</t>
        </is>
      </c>
      <c r="D98" s="115" t="n">
        <v>31.9</v>
      </c>
      <c r="E98" s="113" t="inlineStr">
        <is>
          <t>Assinatura</t>
        </is>
      </c>
      <c r="F98" s="113" t="inlineStr">
        <is>
          <t>Não</t>
        </is>
      </c>
      <c r="G98" s="113" t="inlineStr">
        <is>
          <t>MP Cartão</t>
        </is>
      </c>
      <c r="H98" s="113" t="n">
        <v>95</v>
      </c>
    </row>
    <row r="99">
      <c r="A99" s="116" t="inlineStr">
        <is>
          <t>2026-04-24</t>
        </is>
      </c>
      <c r="B99" s="116" t="inlineStr">
        <is>
          <t>2026-05</t>
        </is>
      </c>
      <c r="C99" s="117" t="inlineStr">
        <is>
          <t>UBER * PENDING</t>
        </is>
      </c>
      <c r="D99" s="118" t="n">
        <v>9.960000000000001</v>
      </c>
      <c r="E99" s="116" t="inlineStr">
        <is>
          <t>Transporte</t>
        </is>
      </c>
      <c r="F99" s="116" t="inlineStr">
        <is>
          <t>Não</t>
        </is>
      </c>
      <c r="G99" s="116" t="inlineStr">
        <is>
          <t>MP Cartão</t>
        </is>
      </c>
      <c r="H99" s="116" t="n">
        <v>96</v>
      </c>
    </row>
    <row r="100">
      <c r="A100" s="113" t="inlineStr">
        <is>
          <t>2026-04-25</t>
        </is>
      </c>
      <c r="B100" s="113" t="inlineStr">
        <is>
          <t>2026-05</t>
        </is>
      </c>
      <c r="C100" s="114" t="inlineStr">
        <is>
          <t>MP*LOTERIASONLINEN7GJ</t>
        </is>
      </c>
      <c r="D100" s="115" t="n">
        <v>168</v>
      </c>
      <c r="E100" s="113" t="inlineStr">
        <is>
          <t>Loteria</t>
        </is>
      </c>
      <c r="F100" s="113" t="inlineStr">
        <is>
          <t>Sim</t>
        </is>
      </c>
      <c r="G100" s="113" t="inlineStr">
        <is>
          <t>MP Cartão</t>
        </is>
      </c>
      <c r="H100" s="113" t="n">
        <v>97</v>
      </c>
    </row>
    <row r="101">
      <c r="A101" s="116" t="inlineStr">
        <is>
          <t>2026-04-27</t>
        </is>
      </c>
      <c r="B101" s="116" t="inlineStr">
        <is>
          <t>2026-05</t>
        </is>
      </c>
      <c r="C101" s="117" t="inlineStr">
        <is>
          <t>Compra internacional em WWW.PERPLEXITY.AI</t>
        </is>
      </c>
      <c r="D101" s="118" t="n">
        <v>103.71</v>
      </c>
      <c r="E101" s="116" t="inlineStr">
        <is>
          <t>IA/Tecnologia</t>
        </is>
      </c>
      <c r="F101" s="116" t="inlineStr">
        <is>
          <t>Sim</t>
        </is>
      </c>
      <c r="G101" s="116" t="inlineStr">
        <is>
          <t>MP Cartão</t>
        </is>
      </c>
      <c r="H101" s="116" t="n">
        <v>98</v>
      </c>
    </row>
    <row r="102">
      <c r="A102" s="113" t="inlineStr">
        <is>
          <t>2026-04-27</t>
        </is>
      </c>
      <c r="B102" s="113" t="inlineStr">
        <is>
          <t>2026-05</t>
        </is>
      </c>
      <c r="C102" s="114" t="inlineStr">
        <is>
          <t>MERCADOLIVRE*LINA</t>
        </is>
      </c>
      <c r="D102" s="115" t="n">
        <v>106.98</v>
      </c>
      <c r="E102" s="113" t="inlineStr">
        <is>
          <t>Compras/ML</t>
        </is>
      </c>
      <c r="F102" s="113" t="inlineStr">
        <is>
          <t>Sim</t>
        </is>
      </c>
      <c r="G102" s="113" t="inlineStr">
        <is>
          <t>MP Cartão</t>
        </is>
      </c>
      <c r="H102" s="113" t="n">
        <v>99</v>
      </c>
    </row>
    <row r="103">
      <c r="A103" s="116" t="inlineStr">
        <is>
          <t>2026-04-27</t>
        </is>
      </c>
      <c r="B103" s="116" t="inlineStr">
        <is>
          <t>2026-05</t>
        </is>
      </c>
      <c r="C103" s="117" t="inlineStr">
        <is>
          <t>MERCADOLIVRE*MERCADOLIVRE</t>
        </is>
      </c>
      <c r="D103" s="118" t="n">
        <v>483.98</v>
      </c>
      <c r="E103" s="116" t="inlineStr">
        <is>
          <t>Compras/ML</t>
        </is>
      </c>
      <c r="F103" s="116" t="inlineStr">
        <is>
          <t>Sim</t>
        </is>
      </c>
      <c r="G103" s="116" t="inlineStr">
        <is>
          <t>MP Cartão</t>
        </is>
      </c>
      <c r="H103" s="116" t="n">
        <v>100</v>
      </c>
    </row>
    <row r="104">
      <c r="A104" s="113" t="inlineStr">
        <is>
          <t>2026-04-27</t>
        </is>
      </c>
      <c r="B104" s="113" t="inlineStr">
        <is>
          <t>2026-05</t>
        </is>
      </c>
      <c r="C104" s="114" t="inlineStr">
        <is>
          <t>IFD*BIANCA DOS SANTOS</t>
        </is>
      </c>
      <c r="D104" s="115" t="n">
        <v>92.89</v>
      </c>
      <c r="E104" s="113" t="inlineStr">
        <is>
          <t>Delivery/iFood</t>
        </is>
      </c>
      <c r="F104" s="113" t="inlineStr">
        <is>
          <t>Sim</t>
        </is>
      </c>
      <c r="G104" s="113" t="inlineStr">
        <is>
          <t>MP Cartão</t>
        </is>
      </c>
      <c r="H104" s="113" t="n">
        <v>101</v>
      </c>
    </row>
    <row r="105">
      <c r="A105" s="116" t="inlineStr">
        <is>
          <t>2026-04-30</t>
        </is>
      </c>
      <c r="B105" s="116" t="inlineStr">
        <is>
          <t>2026-05</t>
        </is>
      </c>
      <c r="C105" s="117" t="inlineStr">
        <is>
          <t>Compra internacional em WWW.PERPLEXITY.AI</t>
        </is>
      </c>
      <c r="D105" s="118" t="n">
        <v>155.25</v>
      </c>
      <c r="E105" s="116" t="inlineStr">
        <is>
          <t>IA/Tecnologia</t>
        </is>
      </c>
      <c r="F105" s="116" t="inlineStr">
        <is>
          <t>Sim</t>
        </is>
      </c>
      <c r="G105" s="116" t="inlineStr">
        <is>
          <t>MP Cartão</t>
        </is>
      </c>
      <c r="H105" s="116" t="n">
        <v>102</v>
      </c>
    </row>
    <row r="106">
      <c r="A106" s="113" t="inlineStr">
        <is>
          <t>2026-04-30</t>
        </is>
      </c>
      <c r="B106" s="113" t="inlineStr">
        <is>
          <t>2026-05</t>
        </is>
      </c>
      <c r="C106" s="114" t="inlineStr">
        <is>
          <t>APPLE.COM/BILL.</t>
        </is>
      </c>
      <c r="D106" s="115" t="n">
        <v>99.90000000000001</v>
      </c>
      <c r="E106" s="113" t="inlineStr">
        <is>
          <t>Assinatura</t>
        </is>
      </c>
      <c r="F106" s="113" t="inlineStr">
        <is>
          <t>Sim</t>
        </is>
      </c>
      <c r="G106" s="113" t="inlineStr">
        <is>
          <t>MP Cartão</t>
        </is>
      </c>
      <c r="H106" s="113" t="n">
        <v>103</v>
      </c>
    </row>
    <row r="107">
      <c r="A107" s="116" t="inlineStr">
        <is>
          <t>2026-04-30</t>
        </is>
      </c>
      <c r="B107" s="116" t="inlineStr">
        <is>
          <t>2026-05</t>
        </is>
      </c>
      <c r="C107" s="117" t="inlineStr">
        <is>
          <t>UBER * PENDING</t>
        </is>
      </c>
      <c r="D107" s="118" t="n">
        <v>16.77</v>
      </c>
      <c r="E107" s="116" t="inlineStr">
        <is>
          <t>Transporte</t>
        </is>
      </c>
      <c r="F107" s="116" t="inlineStr">
        <is>
          <t>Sim</t>
        </is>
      </c>
      <c r="G107" s="116" t="inlineStr">
        <is>
          <t>MP Cartão</t>
        </is>
      </c>
      <c r="H107" s="116" t="n">
        <v>104</v>
      </c>
    </row>
    <row r="108">
      <c r="A108" s="113" t="inlineStr">
        <is>
          <t>2026-05-01</t>
        </is>
      </c>
      <c r="B108" s="113" t="inlineStr">
        <is>
          <t>2026-05</t>
        </is>
      </c>
      <c r="C108" s="114" t="inlineStr">
        <is>
          <t>Compra internacional em CURSOR, AI POWERED IDE</t>
        </is>
      </c>
      <c r="D108" s="115" t="n">
        <v>111.81</v>
      </c>
      <c r="E108" s="113" t="inlineStr">
        <is>
          <t>IA/Tecnologia</t>
        </is>
      </c>
      <c r="F108" s="113" t="inlineStr">
        <is>
          <t>Sim</t>
        </is>
      </c>
      <c r="G108" s="113" t="inlineStr">
        <is>
          <t>MP Cartão</t>
        </is>
      </c>
      <c r="H108" s="113" t="n">
        <v>105</v>
      </c>
    </row>
    <row r="109">
      <c r="A109" s="116" t="inlineStr">
        <is>
          <t>2026-05-01</t>
        </is>
      </c>
      <c r="B109" s="116" t="inlineStr">
        <is>
          <t>2026-05</t>
        </is>
      </c>
      <c r="C109" s="117" t="inlineStr">
        <is>
          <t>Compra internacional em OPENAI* CHATGPT CREDIT</t>
        </is>
      </c>
      <c r="D109" s="118" t="n">
        <v>206.59</v>
      </c>
      <c r="E109" s="116" t="inlineStr">
        <is>
          <t>IA/Tecnologia</t>
        </is>
      </c>
      <c r="F109" s="116" t="inlineStr">
        <is>
          <t>Sim</t>
        </is>
      </c>
      <c r="G109" s="116" t="inlineStr">
        <is>
          <t>MP Cartão</t>
        </is>
      </c>
      <c r="H109" s="116" t="n">
        <v>106</v>
      </c>
    </row>
    <row r="110">
      <c r="A110" s="113" t="inlineStr">
        <is>
          <t>2026-05-02</t>
        </is>
      </c>
      <c r="B110" s="113" t="inlineStr">
        <is>
          <t>2026-05</t>
        </is>
      </c>
      <c r="C110" s="114" t="inlineStr">
        <is>
          <t>IFD*BIANCA DOS SANTOS</t>
        </is>
      </c>
      <c r="D110" s="115" t="n">
        <v>96.98999999999999</v>
      </c>
      <c r="E110" s="113" t="inlineStr">
        <is>
          <t>Delivery/iFood</t>
        </is>
      </c>
      <c r="F110" s="113" t="inlineStr">
        <is>
          <t>Não</t>
        </is>
      </c>
      <c r="G110" s="113" t="inlineStr">
        <is>
          <t>MP Cartão</t>
        </is>
      </c>
      <c r="H110" s="113" t="n">
        <v>107</v>
      </c>
    </row>
    <row r="111">
      <c r="A111" s="116" t="inlineStr">
        <is>
          <t>2026-05-03</t>
        </is>
      </c>
      <c r="B111" s="116" t="inlineStr">
        <is>
          <t>2026-05</t>
        </is>
      </c>
      <c r="C111" s="117" t="inlineStr">
        <is>
          <t>STARLINK INTERNET</t>
        </is>
      </c>
      <c r="D111" s="118" t="n">
        <v>235.52</v>
      </c>
      <c r="E111" s="116" t="inlineStr">
        <is>
          <t>Internet</t>
        </is>
      </c>
      <c r="F111" s="116" t="inlineStr">
        <is>
          <t>Não</t>
        </is>
      </c>
      <c r="G111" s="116" t="inlineStr">
        <is>
          <t>MP Cartão</t>
        </is>
      </c>
      <c r="H111" s="116" t="n">
        <v>108</v>
      </c>
    </row>
    <row r="112">
      <c r="A112" s="113" t="inlineStr">
        <is>
          <t>2026-05-05</t>
        </is>
      </c>
      <c r="B112" s="113" t="inlineStr">
        <is>
          <t>2026-06</t>
        </is>
      </c>
      <c r="C112" s="114" t="inlineStr">
        <is>
          <t>UBER * PENDING</t>
        </is>
      </c>
      <c r="D112" s="115" t="n">
        <v>29.97</v>
      </c>
      <c r="E112" s="113" t="inlineStr">
        <is>
          <t>Transporte</t>
        </is>
      </c>
      <c r="F112" s="113" t="inlineStr">
        <is>
          <t>Sim</t>
        </is>
      </c>
      <c r="G112" s="113" t="inlineStr">
        <is>
          <t>MP Cartão</t>
        </is>
      </c>
      <c r="H112" s="113" t="n">
        <v>109</v>
      </c>
    </row>
    <row r="113">
      <c r="A113" s="116" t="inlineStr">
        <is>
          <t>2026-05-05</t>
        </is>
      </c>
      <c r="B113" s="116" t="inlineStr">
        <is>
          <t>2026-06</t>
        </is>
      </c>
      <c r="C113" s="117" t="inlineStr">
        <is>
          <t>UBER * PENDING</t>
        </is>
      </c>
      <c r="D113" s="118" t="n">
        <v>25.93</v>
      </c>
      <c r="E113" s="116" t="inlineStr">
        <is>
          <t>Transporte</t>
        </is>
      </c>
      <c r="F113" s="116" t="inlineStr">
        <is>
          <t>Sim</t>
        </is>
      </c>
      <c r="G113" s="116" t="inlineStr">
        <is>
          <t>MP Cartão</t>
        </is>
      </c>
      <c r="H113" s="116" t="n">
        <v>110</v>
      </c>
    </row>
    <row r="114">
      <c r="A114" s="113" t="inlineStr">
        <is>
          <t>2026-05-05</t>
        </is>
      </c>
      <c r="B114" s="113" t="inlineStr">
        <is>
          <t>2026-06</t>
        </is>
      </c>
      <c r="C114" s="114" t="inlineStr">
        <is>
          <t>MP*LOTERIASONLINEJOSJ</t>
        </is>
      </c>
      <c r="D114" s="115" t="n">
        <v>248</v>
      </c>
      <c r="E114" s="113" t="inlineStr">
        <is>
          <t>Loteria</t>
        </is>
      </c>
      <c r="F114" s="113" t="inlineStr">
        <is>
          <t>Sim</t>
        </is>
      </c>
      <c r="G114" s="113" t="inlineStr">
        <is>
          <t>MP Cartão</t>
        </is>
      </c>
      <c r="H114" s="113" t="n">
        <v>111</v>
      </c>
    </row>
    <row r="115">
      <c r="A115" s="116" t="inlineStr">
        <is>
          <t>2026-05-06</t>
        </is>
      </c>
      <c r="B115" s="116" t="inlineStr">
        <is>
          <t>2026-06</t>
        </is>
      </c>
      <c r="C115" s="117" t="inlineStr">
        <is>
          <t>Compra internacional em OPENAI *CHATGPT SUBSCR</t>
        </is>
      </c>
      <c r="D115" s="118" t="n">
        <v>101.85</v>
      </c>
      <c r="E115" s="116" t="inlineStr">
        <is>
          <t>IA/Tecnologia</t>
        </is>
      </c>
      <c r="F115" s="116" t="inlineStr">
        <is>
          <t>Sim</t>
        </is>
      </c>
      <c r="G115" s="116" t="inlineStr">
        <is>
          <t>MP Cartão</t>
        </is>
      </c>
      <c r="H115" s="116" t="n">
        <v>112</v>
      </c>
    </row>
    <row r="116">
      <c r="A116" s="113" t="inlineStr">
        <is>
          <t>2026-05-08</t>
        </is>
      </c>
      <c r="B116" s="113" t="inlineStr">
        <is>
          <t>2026-06</t>
        </is>
      </c>
      <c r="C116" s="114" t="inlineStr">
        <is>
          <t>Compra internacional em GITHUB, INC.</t>
        </is>
      </c>
      <c r="D116" s="115" t="n">
        <v>50.93</v>
      </c>
      <c r="E116" s="113" t="inlineStr">
        <is>
          <t>IA/Tecnologia</t>
        </is>
      </c>
      <c r="F116" s="113" t="inlineStr">
        <is>
          <t>Sim</t>
        </is>
      </c>
      <c r="G116" s="113" t="inlineStr">
        <is>
          <t>MP Cartão</t>
        </is>
      </c>
      <c r="H116" s="113" t="n">
        <v>113</v>
      </c>
    </row>
    <row r="117">
      <c r="A117" s="116" t="inlineStr">
        <is>
          <t>2026-05-09</t>
        </is>
      </c>
      <c r="B117" s="116" t="inlineStr">
        <is>
          <t>2026-06</t>
        </is>
      </c>
      <c r="C117" s="117" t="inlineStr">
        <is>
          <t>MP*LOTERIASONLINEDB7Z</t>
        </is>
      </c>
      <c r="D117" s="118" t="n">
        <v>151</v>
      </c>
      <c r="E117" s="116" t="inlineStr">
        <is>
          <t>Loteria</t>
        </is>
      </c>
      <c r="F117" s="116" t="inlineStr">
        <is>
          <t>Não</t>
        </is>
      </c>
      <c r="G117" s="116" t="inlineStr">
        <is>
          <t>MP Cartão</t>
        </is>
      </c>
      <c r="H117" s="116" t="n">
        <v>114</v>
      </c>
    </row>
    <row r="118">
      <c r="A118" s="113" t="inlineStr">
        <is>
          <t>2026-05-10</t>
        </is>
      </c>
      <c r="B118" s="113" t="inlineStr">
        <is>
          <t>2026-06</t>
        </is>
      </c>
      <c r="C118" s="114" t="inlineStr">
        <is>
          <t>APPLE.COM/BILL</t>
        </is>
      </c>
      <c r="D118" s="115" t="n">
        <v>19.9</v>
      </c>
      <c r="E118" s="113" t="inlineStr">
        <is>
          <t>Assinatura</t>
        </is>
      </c>
      <c r="F118" s="113" t="inlineStr">
        <is>
          <t>Sim</t>
        </is>
      </c>
      <c r="G118" s="113" t="inlineStr">
        <is>
          <t>MP Cartão</t>
        </is>
      </c>
      <c r="H118" s="113" t="n">
        <v>115</v>
      </c>
    </row>
    <row r="119">
      <c r="A119" s="116" t="inlineStr">
        <is>
          <t>2026-05-11</t>
        </is>
      </c>
      <c r="B119" s="116" t="inlineStr">
        <is>
          <t>2026-06</t>
        </is>
      </c>
      <c r="C119" s="117" t="inlineStr">
        <is>
          <t>IFD*iFood</t>
        </is>
      </c>
      <c r="D119" s="118" t="n">
        <v>7.95</v>
      </c>
      <c r="E119" s="116" t="inlineStr">
        <is>
          <t>Delivery/iFood</t>
        </is>
      </c>
      <c r="F119" s="116" t="inlineStr">
        <is>
          <t>Sim</t>
        </is>
      </c>
      <c r="G119" s="116" t="inlineStr">
        <is>
          <t>MP Cartão</t>
        </is>
      </c>
      <c r="H119" s="116" t="n">
        <v>116</v>
      </c>
    </row>
    <row r="120">
      <c r="A120" s="113" t="inlineStr">
        <is>
          <t>2026-05-16</t>
        </is>
      </c>
      <c r="B120" s="113" t="inlineStr">
        <is>
          <t>2026-06</t>
        </is>
      </c>
      <c r="C120" s="114" t="inlineStr">
        <is>
          <t>Compra internacional em WWW.PERPLEXITY.AI</t>
        </is>
      </c>
      <c r="D120" s="115" t="n">
        <v>78.72</v>
      </c>
      <c r="E120" s="113" t="inlineStr">
        <is>
          <t>IA/Tecnologia</t>
        </is>
      </c>
      <c r="F120" s="113" t="inlineStr">
        <is>
          <t>Sim</t>
        </is>
      </c>
      <c r="G120" s="113" t="inlineStr">
        <is>
          <t>MP Cartão</t>
        </is>
      </c>
      <c r="H120" s="113" t="n">
        <v>117</v>
      </c>
    </row>
    <row r="121">
      <c r="A121" s="116" t="inlineStr">
        <is>
          <t>2026-05-16</t>
        </is>
      </c>
      <c r="B121" s="116" t="inlineStr">
        <is>
          <t>2026-06</t>
        </is>
      </c>
      <c r="C121" s="117" t="inlineStr">
        <is>
          <t>IFD*34.531.468 EDWIN LEIB</t>
        </is>
      </c>
      <c r="D121" s="118" t="n">
        <v>73.03</v>
      </c>
      <c r="E121" s="116" t="inlineStr">
        <is>
          <t>Delivery/iFood</t>
        </is>
      </c>
      <c r="F121" s="116" t="inlineStr">
        <is>
          <t>Sim</t>
        </is>
      </c>
      <c r="G121" s="116" t="inlineStr">
        <is>
          <t>MP Cartão</t>
        </is>
      </c>
      <c r="H121" s="116" t="n">
        <v>118</v>
      </c>
    </row>
    <row r="122">
      <c r="A122" s="113" t="inlineStr">
        <is>
          <t>2026-05-17</t>
        </is>
      </c>
      <c r="B122" s="113" t="inlineStr">
        <is>
          <t>2026-06</t>
        </is>
      </c>
      <c r="C122" s="114" t="inlineStr">
        <is>
          <t>Compra internacional em OPENAI *CHATGPT SUBSCR</t>
        </is>
      </c>
      <c r="D122" s="115" t="n">
        <v>104.95</v>
      </c>
      <c r="E122" s="113" t="inlineStr">
        <is>
          <t>IA/Tecnologia</t>
        </is>
      </c>
      <c r="F122" s="113" t="inlineStr">
        <is>
          <t>Sim</t>
        </is>
      </c>
      <c r="G122" s="113" t="inlineStr">
        <is>
          <t>MP Cartão</t>
        </is>
      </c>
      <c r="H122" s="113" t="n">
        <v>119</v>
      </c>
    </row>
    <row r="123">
      <c r="A123" s="116" t="inlineStr">
        <is>
          <t>2026-05-18</t>
        </is>
      </c>
      <c r="B123" s="116" t="inlineStr">
        <is>
          <t>2026-06</t>
        </is>
      </c>
      <c r="C123" s="117" t="inlineStr">
        <is>
          <t>Compra internacional em CLOUDFLARE</t>
        </is>
      </c>
      <c r="D123" s="118" t="n">
        <v>83.44</v>
      </c>
      <c r="E123" s="116" t="inlineStr">
        <is>
          <t>IA/Tecnologia</t>
        </is>
      </c>
      <c r="F123" s="116" t="inlineStr">
        <is>
          <t>Sim</t>
        </is>
      </c>
      <c r="G123" s="116" t="inlineStr">
        <is>
          <t>MP Cartão</t>
        </is>
      </c>
      <c r="H123" s="116" t="n">
        <v>120</v>
      </c>
    </row>
    <row r="124">
      <c r="A124" s="113" t="inlineStr">
        <is>
          <t>2026-05-18</t>
        </is>
      </c>
      <c r="B124" s="113" t="inlineStr">
        <is>
          <t>2026-06</t>
        </is>
      </c>
      <c r="C124" s="114" t="inlineStr">
        <is>
          <t>MP*LOTERIASONLINE281Q</t>
        </is>
      </c>
      <c r="D124" s="115" t="n">
        <v>146</v>
      </c>
      <c r="E124" s="113" t="inlineStr">
        <is>
          <t>Loteria</t>
        </is>
      </c>
      <c r="F124" s="113" t="inlineStr">
        <is>
          <t>Sim</t>
        </is>
      </c>
      <c r="G124" s="113" t="inlineStr">
        <is>
          <t>MP Cartão</t>
        </is>
      </c>
      <c r="H124" s="113" t="n">
        <v>121</v>
      </c>
    </row>
    <row r="125">
      <c r="A125" s="116" t="inlineStr">
        <is>
          <t>2026-05-19</t>
        </is>
      </c>
      <c r="B125" s="116" t="inlineStr">
        <is>
          <t>2026-06</t>
        </is>
      </c>
      <c r="C125" s="117" t="inlineStr">
        <is>
          <t>IFD*PIPA SUSHI E TEMAK</t>
        </is>
      </c>
      <c r="D125" s="118" t="n">
        <v>67.31</v>
      </c>
      <c r="E125" s="116" t="inlineStr">
        <is>
          <t>Delivery/iFood</t>
        </is>
      </c>
      <c r="F125" s="116" t="inlineStr">
        <is>
          <t>Sim</t>
        </is>
      </c>
      <c r="G125" s="116" t="inlineStr">
        <is>
          <t>MP Cartão</t>
        </is>
      </c>
      <c r="H125" s="116" t="n">
        <v>122</v>
      </c>
    </row>
    <row r="126">
      <c r="A126" s="113" t="inlineStr">
        <is>
          <t>2026-05-19</t>
        </is>
      </c>
      <c r="B126" s="113" t="inlineStr">
        <is>
          <t>2026-06</t>
        </is>
      </c>
      <c r="C126" s="114" t="inlineStr">
        <is>
          <t>DL*GOOGLE YouTub</t>
        </is>
      </c>
      <c r="D126" s="115" t="n">
        <v>269</v>
      </c>
      <c r="E126" s="113" t="inlineStr">
        <is>
          <t>Assinatura</t>
        </is>
      </c>
      <c r="F126" s="113" t="inlineStr">
        <is>
          <t>Sim</t>
        </is>
      </c>
      <c r="G126" s="113" t="inlineStr">
        <is>
          <t>MP Cartão</t>
        </is>
      </c>
      <c r="H126" s="113" t="n">
        <v>123</v>
      </c>
    </row>
    <row r="127">
      <c r="A127" s="116" t="inlineStr">
        <is>
          <t>2026-05-19</t>
        </is>
      </c>
      <c r="B127" s="116" t="inlineStr">
        <is>
          <t>2026-06</t>
        </is>
      </c>
      <c r="C127" s="117" t="inlineStr">
        <is>
          <t>MP*LOTERIASONLINEAPI5</t>
        </is>
      </c>
      <c r="D127" s="118" t="n">
        <v>120</v>
      </c>
      <c r="E127" s="116" t="inlineStr">
        <is>
          <t>Loteria</t>
        </is>
      </c>
      <c r="F127" s="116" t="inlineStr">
        <is>
          <t>Sim</t>
        </is>
      </c>
      <c r="G127" s="116" t="inlineStr">
        <is>
          <t>MP Cartão</t>
        </is>
      </c>
      <c r="H127" s="116" t="n">
        <v>124</v>
      </c>
    </row>
    <row r="128">
      <c r="A128" s="113" t="inlineStr">
        <is>
          <t>2026-05-20</t>
        </is>
      </c>
      <c r="B128" s="113" t="inlineStr">
        <is>
          <t>2026-06</t>
        </is>
      </c>
      <c r="C128" s="114" t="inlineStr">
        <is>
          <t>Compra internacional em OPENAI* CHATGPT CREDIT</t>
        </is>
      </c>
      <c r="D128" s="115" t="n">
        <v>208.66</v>
      </c>
      <c r="E128" s="113" t="inlineStr">
        <is>
          <t>IA/Tecnologia</t>
        </is>
      </c>
      <c r="F128" s="113" t="inlineStr">
        <is>
          <t>Sim</t>
        </is>
      </c>
      <c r="G128" s="113" t="inlineStr">
        <is>
          <t>MP Cartão</t>
        </is>
      </c>
      <c r="H128" s="113" t="n">
        <v>125</v>
      </c>
    </row>
    <row r="129">
      <c r="A129" s="116" t="inlineStr">
        <is>
          <t>2026-05-22</t>
        </is>
      </c>
      <c r="B129" s="116" t="inlineStr">
        <is>
          <t>2026-06</t>
        </is>
      </c>
      <c r="C129" s="117" t="inlineStr">
        <is>
          <t>MP*LOTERIASONLINEPXMF</t>
        </is>
      </c>
      <c r="D129" s="118" t="n">
        <v>210</v>
      </c>
      <c r="E129" s="116" t="inlineStr">
        <is>
          <t>Loteria</t>
        </is>
      </c>
      <c r="F129" s="116" t="inlineStr">
        <is>
          <t>Sim</t>
        </is>
      </c>
      <c r="G129" s="116" t="inlineStr">
        <is>
          <t>MP Cartão</t>
        </is>
      </c>
      <c r="H129" s="116" t="n">
        <v>126</v>
      </c>
    </row>
    <row r="130">
      <c r="A130" s="113" t="inlineStr">
        <is>
          <t>2026-05-23</t>
        </is>
      </c>
      <c r="B130" s="113" t="inlineStr">
        <is>
          <t>2026-06</t>
        </is>
      </c>
      <c r="C130" s="114" t="inlineStr">
        <is>
          <t>Compra internacional em OPENAI* CHATGPT CREDIT</t>
        </is>
      </c>
      <c r="D130" s="115" t="n">
        <v>207.42</v>
      </c>
      <c r="E130" s="113" t="inlineStr">
        <is>
          <t>IA/Tecnologia</t>
        </is>
      </c>
      <c r="F130" s="113" t="inlineStr">
        <is>
          <t>Sim</t>
        </is>
      </c>
      <c r="G130" s="113" t="inlineStr">
        <is>
          <t>MP Cartão</t>
        </is>
      </c>
      <c r="H130" s="113" t="n">
        <v>127</v>
      </c>
    </row>
    <row r="131">
      <c r="A131" s="116" t="inlineStr">
        <is>
          <t>2026-05-24</t>
        </is>
      </c>
      <c r="B131" s="116" t="inlineStr">
        <is>
          <t>2026-06</t>
        </is>
      </c>
      <c r="C131" s="117" t="inlineStr">
        <is>
          <t>APPLE.COM/BILL</t>
        </is>
      </c>
      <c r="D131" s="118" t="n">
        <v>31.9</v>
      </c>
      <c r="E131" s="116" t="inlineStr">
        <is>
          <t>Assinatura</t>
        </is>
      </c>
      <c r="F131" s="116" t="inlineStr">
        <is>
          <t>Não</t>
        </is>
      </c>
      <c r="G131" s="116" t="inlineStr">
        <is>
          <t>MP Cartão</t>
        </is>
      </c>
      <c r="H131" s="116" t="n">
        <v>128</v>
      </c>
    </row>
    <row r="132">
      <c r="A132" s="113" t="inlineStr">
        <is>
          <t>2026-05-28</t>
        </is>
      </c>
      <c r="B132" s="113" t="inlineStr">
        <is>
          <t>2026-06</t>
        </is>
      </c>
      <c r="C132" s="114" t="inlineStr">
        <is>
          <t>Compra internacional em ANTHROPIC</t>
        </is>
      </c>
      <c r="D132" s="115" t="n">
        <v>103.5</v>
      </c>
      <c r="E132" s="113" t="inlineStr">
        <is>
          <t>IA/Tecnologia</t>
        </is>
      </c>
      <c r="F132" s="113" t="inlineStr">
        <is>
          <t>Sim</t>
        </is>
      </c>
      <c r="G132" s="113" t="inlineStr">
        <is>
          <t>MP Cartão</t>
        </is>
      </c>
      <c r="H132" s="113" t="n">
        <v>129</v>
      </c>
    </row>
    <row r="133">
      <c r="A133" s="116" t="inlineStr">
        <is>
          <t>2026-05-29</t>
        </is>
      </c>
      <c r="B133" s="116" t="inlineStr">
        <is>
          <t>2026-06</t>
        </is>
      </c>
      <c r="C133" s="117" t="inlineStr">
        <is>
          <t>UBER * PENDING</t>
        </is>
      </c>
      <c r="D133" s="118" t="n">
        <v>13.97</v>
      </c>
      <c r="E133" s="116" t="inlineStr">
        <is>
          <t>Transporte</t>
        </is>
      </c>
      <c r="F133" s="116" t="inlineStr">
        <is>
          <t>Sim</t>
        </is>
      </c>
      <c r="G133" s="116" t="inlineStr">
        <is>
          <t>MP Cartão</t>
        </is>
      </c>
      <c r="H133" s="116" t="n">
        <v>130</v>
      </c>
    </row>
    <row r="134">
      <c r="A134" s="113" t="inlineStr">
        <is>
          <t>2026-05-30</t>
        </is>
      </c>
      <c r="B134" s="113" t="inlineStr">
        <is>
          <t>2026-06</t>
        </is>
      </c>
      <c r="C134" s="114" t="inlineStr">
        <is>
          <t>APPLE.COM/BILL</t>
        </is>
      </c>
      <c r="D134" s="115" t="n">
        <v>99.90000000000001</v>
      </c>
      <c r="E134" s="113" t="inlineStr">
        <is>
          <t>Assinatura</t>
        </is>
      </c>
      <c r="F134" s="113" t="inlineStr">
        <is>
          <t>Sim</t>
        </is>
      </c>
      <c r="G134" s="113" t="inlineStr">
        <is>
          <t>MP Cartão</t>
        </is>
      </c>
      <c r="H134" s="113" t="n">
        <v>131</v>
      </c>
    </row>
    <row r="135">
      <c r="A135" s="116" t="inlineStr">
        <is>
          <t>2026-05-30</t>
        </is>
      </c>
      <c r="B135" s="116" t="inlineStr">
        <is>
          <t>2026-06</t>
        </is>
      </c>
      <c r="C135" s="117" t="inlineStr">
        <is>
          <t>Compra internacional em CLAUDE.AI SUBSCRIPTION</t>
        </is>
      </c>
      <c r="D135" s="118" t="n">
        <v>113.85</v>
      </c>
      <c r="E135" s="116" t="inlineStr">
        <is>
          <t>IA/Tecnologia</t>
        </is>
      </c>
      <c r="F135" s="116" t="inlineStr">
        <is>
          <t>Sim</t>
        </is>
      </c>
      <c r="G135" s="116" t="inlineStr">
        <is>
          <t>MP Cartão</t>
        </is>
      </c>
      <c r="H135" s="116" t="n">
        <v>132</v>
      </c>
    </row>
    <row r="136">
      <c r="A136" s="113" t="inlineStr">
        <is>
          <t>2026-05-30</t>
        </is>
      </c>
      <c r="B136" s="113" t="inlineStr">
        <is>
          <t>2026-06</t>
        </is>
      </c>
      <c r="C136" s="114" t="inlineStr">
        <is>
          <t>IFD*PIPA SUSHI E TEMAK</t>
        </is>
      </c>
      <c r="D136" s="115" t="n">
        <v>90.29000000000001</v>
      </c>
      <c r="E136" s="113" t="inlineStr">
        <is>
          <t>Delivery/iFood</t>
        </is>
      </c>
      <c r="F136" s="113" t="inlineStr">
        <is>
          <t>Sim</t>
        </is>
      </c>
      <c r="G136" s="113" t="inlineStr">
        <is>
          <t>MP Cartão</t>
        </is>
      </c>
      <c r="H136" s="113" t="n">
        <v>133</v>
      </c>
    </row>
    <row r="137">
      <c r="A137" s="116" t="inlineStr">
        <is>
          <t>2026-06-01</t>
        </is>
      </c>
      <c r="B137" s="116" t="inlineStr">
        <is>
          <t>2026-06</t>
        </is>
      </c>
      <c r="C137" s="117" t="inlineStr">
        <is>
          <t>Compra internacional em WWW.PERPLEXITY.AI</t>
        </is>
      </c>
      <c r="D137" s="118" t="n">
        <v>78.56</v>
      </c>
      <c r="E137" s="116" t="inlineStr">
        <is>
          <t>IA/Tecnologia</t>
        </is>
      </c>
      <c r="F137" s="116" t="inlineStr">
        <is>
          <t>Sim</t>
        </is>
      </c>
      <c r="G137" s="116" t="inlineStr">
        <is>
          <t>MP Cartão</t>
        </is>
      </c>
      <c r="H137" s="116" t="n">
        <v>134</v>
      </c>
    </row>
    <row r="138">
      <c r="A138" s="113" t="inlineStr">
        <is>
          <t>2026-06-01</t>
        </is>
      </c>
      <c r="B138" s="113" t="inlineStr">
        <is>
          <t>2026-06</t>
        </is>
      </c>
      <c r="C138" s="114" t="inlineStr">
        <is>
          <t>Compra internacional em CURSOR, AI POWERED IDE</t>
        </is>
      </c>
      <c r="D138" s="115" t="n">
        <v>111.81</v>
      </c>
      <c r="E138" s="113" t="inlineStr">
        <is>
          <t>IA/Tecnologia</t>
        </is>
      </c>
      <c r="F138" s="113" t="inlineStr">
        <is>
          <t>Sim</t>
        </is>
      </c>
      <c r="G138" s="113" t="inlineStr">
        <is>
          <t>MP Cartão</t>
        </is>
      </c>
      <c r="H138" s="113" t="n">
        <v>135</v>
      </c>
    </row>
    <row r="139">
      <c r="A139" s="116" t="inlineStr">
        <is>
          <t>2026-06-02</t>
        </is>
      </c>
      <c r="B139" s="116" t="inlineStr">
        <is>
          <t>2026-06</t>
        </is>
      </c>
      <c r="C139" s="117" t="inlineStr">
        <is>
          <t>UBER * PENDING</t>
        </is>
      </c>
      <c r="D139" s="118" t="n">
        <v>24.95</v>
      </c>
      <c r="E139" s="116" t="inlineStr">
        <is>
          <t>Transporte</t>
        </is>
      </c>
      <c r="F139" s="116" t="inlineStr">
        <is>
          <t>Não</t>
        </is>
      </c>
      <c r="G139" s="116" t="inlineStr">
        <is>
          <t>MP Cartão</t>
        </is>
      </c>
      <c r="H139" s="116" t="n">
        <v>136</v>
      </c>
    </row>
    <row r="140">
      <c r="A140" s="113" t="inlineStr">
        <is>
          <t>2026-06-02</t>
        </is>
      </c>
      <c r="B140" s="113" t="inlineStr">
        <is>
          <t>2026-06</t>
        </is>
      </c>
      <c r="C140" s="114" t="inlineStr">
        <is>
          <t>MP*LOTERIASONLINEJEPS</t>
        </is>
      </c>
      <c r="D140" s="115" t="n">
        <v>161.5</v>
      </c>
      <c r="E140" s="113" t="inlineStr">
        <is>
          <t>Loteria</t>
        </is>
      </c>
      <c r="F140" s="113" t="inlineStr">
        <is>
          <t>Não</t>
        </is>
      </c>
      <c r="G140" s="113" t="inlineStr">
        <is>
          <t>MP Cartão</t>
        </is>
      </c>
      <c r="H140" s="113" t="n">
        <v>137</v>
      </c>
    </row>
    <row r="141">
      <c r="A141" s="116" t="inlineStr">
        <is>
          <t>2026-06-03</t>
        </is>
      </c>
      <c r="B141" s="116" t="inlineStr">
        <is>
          <t>2026-06</t>
        </is>
      </c>
      <c r="C141" s="117" t="inlineStr">
        <is>
          <t>STARLINK INTERNET</t>
        </is>
      </c>
      <c r="D141" s="118" t="n">
        <v>235.52</v>
      </c>
      <c r="E141" s="116" t="inlineStr">
        <is>
          <t>Internet</t>
        </is>
      </c>
      <c r="F141" s="116" t="inlineStr">
        <is>
          <t>Não</t>
        </is>
      </c>
      <c r="G141" s="116" t="inlineStr">
        <is>
          <t>MP Cartão</t>
        </is>
      </c>
      <c r="H141" s="116" t="n">
        <v>138</v>
      </c>
    </row>
    <row r="142">
      <c r="A142" s="113" t="inlineStr">
        <is>
          <t>2026-06-03</t>
        </is>
      </c>
      <c r="B142" s="113" t="inlineStr">
        <is>
          <t>2026-06</t>
        </is>
      </c>
      <c r="C142" s="114" t="inlineStr">
        <is>
          <t>DL*UberRides</t>
        </is>
      </c>
      <c r="D142" s="115" t="n">
        <v>11.98</v>
      </c>
      <c r="E142" s="113" t="inlineStr">
        <is>
          <t>Transporte</t>
        </is>
      </c>
      <c r="F142" s="113" t="inlineStr">
        <is>
          <t>Não</t>
        </is>
      </c>
      <c r="G142" s="113" t="inlineStr">
        <is>
          <t>MP Cartão</t>
        </is>
      </c>
      <c r="H142" s="113" t="n">
        <v>139</v>
      </c>
    </row>
    <row r="143">
      <c r="A143" s="116" t="inlineStr">
        <is>
          <t>2026-06-03</t>
        </is>
      </c>
      <c r="B143" s="116" t="inlineStr">
        <is>
          <t>2026-06</t>
        </is>
      </c>
      <c r="C143" s="117" t="inlineStr">
        <is>
          <t>CONTA VIVO</t>
        </is>
      </c>
      <c r="D143" s="118" t="n">
        <v>74.43000000000001</v>
      </c>
      <c r="E143" s="116" t="inlineStr">
        <is>
          <t>Telecomunicações</t>
        </is>
      </c>
      <c r="F143" s="116" t="inlineStr">
        <is>
          <t>Não</t>
        </is>
      </c>
      <c r="G143" s="116" t="inlineStr">
        <is>
          <t>MP Cartão</t>
        </is>
      </c>
      <c r="H143" s="116" t="n">
        <v>140</v>
      </c>
    </row>
    <row r="144">
      <c r="A144" s="113" t="inlineStr">
        <is>
          <t>2026-06-03</t>
        </is>
      </c>
      <c r="B144" s="113" t="inlineStr">
        <is>
          <t>2026-06</t>
        </is>
      </c>
      <c r="C144" s="114" t="inlineStr">
        <is>
          <t>UBER * PENDING</t>
        </is>
      </c>
      <c r="D144" s="115" t="n">
        <v>19.68</v>
      </c>
      <c r="E144" s="113" t="inlineStr">
        <is>
          <t>Transporte</t>
        </is>
      </c>
      <c r="F144" s="113" t="inlineStr">
        <is>
          <t>Não</t>
        </is>
      </c>
      <c r="G144" s="113" t="inlineStr">
        <is>
          <t>MP Cartão</t>
        </is>
      </c>
      <c r="H144" s="113" t="n">
        <v>141</v>
      </c>
    </row>
    <row r="145">
      <c r="A145" s="116" t="inlineStr">
        <is>
          <t>2026-06-03</t>
        </is>
      </c>
      <c r="B145" s="116" t="inlineStr">
        <is>
          <t>2026-06</t>
        </is>
      </c>
      <c r="C145" s="117" t="inlineStr">
        <is>
          <t>MP*LOTERIASONLINESPC2</t>
        </is>
      </c>
      <c r="D145" s="118" t="n">
        <v>117</v>
      </c>
      <c r="E145" s="116" t="inlineStr">
        <is>
          <t>Loteria</t>
        </is>
      </c>
      <c r="F145" s="116" t="inlineStr">
        <is>
          <t>Não</t>
        </is>
      </c>
      <c r="G145" s="116" t="inlineStr">
        <is>
          <t>MP Cartão</t>
        </is>
      </c>
      <c r="H145" s="116" t="n">
        <v>142</v>
      </c>
    </row>
    <row r="146">
      <c r="A146" s="113" t="inlineStr">
        <is>
          <t>2026-06-03</t>
        </is>
      </c>
      <c r="B146" s="113" t="inlineStr">
        <is>
          <t>2026-06</t>
        </is>
      </c>
      <c r="C146" s="114" t="inlineStr">
        <is>
          <t>UBER * PENDING</t>
        </is>
      </c>
      <c r="D146" s="115" t="n">
        <v>43.99</v>
      </c>
      <c r="E146" s="113" t="inlineStr">
        <is>
          <t>Transporte</t>
        </is>
      </c>
      <c r="F146" s="113" t="inlineStr">
        <is>
          <t>Não</t>
        </is>
      </c>
      <c r="G146" s="113" t="inlineStr">
        <is>
          <t>MP Cartão</t>
        </is>
      </c>
      <c r="H146" s="113" t="n">
        <v>143</v>
      </c>
    </row>
    <row r="147">
      <c r="A147" s="116" t="inlineStr">
        <is>
          <t>2026-06-04</t>
        </is>
      </c>
      <c r="B147" s="116" t="inlineStr">
        <is>
          <t>2026-06</t>
        </is>
      </c>
      <c r="C147" s="117" t="inlineStr">
        <is>
          <t>Compra internacional em WWW.PERPLEXITY.AI</t>
        </is>
      </c>
      <c r="D147" s="118" t="n">
        <v>78.25</v>
      </c>
      <c r="E147" s="116" t="inlineStr">
        <is>
          <t>IA/Tecnologia</t>
        </is>
      </c>
      <c r="F147" s="116" t="inlineStr">
        <is>
          <t>Sim</t>
        </is>
      </c>
      <c r="G147" s="116" t="inlineStr">
        <is>
          <t>MP Cartão</t>
        </is>
      </c>
      <c r="H147" s="116" t="n">
        <v>144</v>
      </c>
    </row>
    <row r="148">
      <c r="A148" s="113" t="inlineStr">
        <is>
          <t>2026-06-04</t>
        </is>
      </c>
      <c r="B148" s="113" t="inlineStr">
        <is>
          <t>2026-06</t>
        </is>
      </c>
      <c r="C148" s="114" t="inlineStr">
        <is>
          <t>Compra internacional em WWW.PERPLEXITY.AI</t>
        </is>
      </c>
      <c r="D148" s="115" t="n">
        <v>78.25</v>
      </c>
      <c r="E148" s="113" t="inlineStr">
        <is>
          <t>IA/Tecnologia</t>
        </is>
      </c>
      <c r="F148" s="113" t="inlineStr">
        <is>
          <t>Sim</t>
        </is>
      </c>
      <c r="G148" s="113" t="inlineStr">
        <is>
          <t>MP Cartão</t>
        </is>
      </c>
      <c r="H148" s="113" t="n">
        <v>145</v>
      </c>
    </row>
    <row r="149">
      <c r="A149" s="116" t="inlineStr">
        <is>
          <t>2026-06-05</t>
        </is>
      </c>
      <c r="B149" s="116" t="inlineStr">
        <is>
          <t>2026-06</t>
        </is>
      </c>
      <c r="C149" s="117" t="inlineStr">
        <is>
          <t>Compra internacional em WWW.PERPLEXITY.AI</t>
        </is>
      </c>
      <c r="D149" s="118" t="n">
        <v>78.25</v>
      </c>
      <c r="E149" s="116" t="inlineStr">
        <is>
          <t>IA/Tecnologia</t>
        </is>
      </c>
      <c r="F149" s="116" t="inlineStr">
        <is>
          <t>Sim</t>
        </is>
      </c>
      <c r="G149" s="116" t="inlineStr">
        <is>
          <t>MP Cartão</t>
        </is>
      </c>
      <c r="H149" s="116" t="n">
        <v>146</v>
      </c>
    </row>
    <row r="150" ht="15" customHeight="1" s="124"/>
    <row r="151">
      <c r="C151" t="inlineStr">
        <is>
          <t>TOTAL FATURA (live)</t>
        </is>
      </c>
      <c r="D151">
        <f>SUM(D4:D149)</f>
        <v/>
      </c>
    </row>
    <row r="152">
      <c r="C152" t="inlineStr">
        <is>
          <t>Nº transações</t>
        </is>
      </c>
      <c r="D152">
        <f>COUNT(D4:D149)</f>
        <v/>
      </c>
    </row>
  </sheetData>
  <mergeCells count="5">
    <mergeCell ref="A2:B2"/>
    <mergeCell ref="C2:D2"/>
    <mergeCell ref="G2:H2"/>
    <mergeCell ref="E2:F2"/>
    <mergeCell ref="A1:H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77"/>
  <sheetViews>
    <sheetView showGridLines="0" workbookViewId="0">
      <pane ySplit="3" topLeftCell="A4" activePane="bottomLeft" state="frozen"/>
      <selection pane="bottomLeft" activeCell="A1" sqref="A1"/>
    </sheetView>
  </sheetViews>
  <sheetFormatPr baseColWidth="10" defaultColWidth="8.83203125" defaultRowHeight="15"/>
  <cols>
    <col width="12" customWidth="1" style="124" min="1" max="1"/>
    <col width="16" customWidth="1" style="124" min="2" max="2"/>
    <col width="55" customWidth="1" style="124" min="3" max="3"/>
    <col width="14" customWidth="1" style="124" min="4" max="4"/>
    <col width="24" customWidth="1" style="124" min="5" max="5"/>
    <col width="12" customWidth="1" style="124" min="6" max="6"/>
    <col width="6" customWidth="1" style="124" min="7" max="7"/>
  </cols>
  <sheetData>
    <row r="1" ht="34" customHeight="1" s="124">
      <c r="A1" s="139" t="inlineStr">
        <is>
          <t>🛒  Mercado Livre + iFood — Histórico de Compras &amp; Pedidos  2026</t>
        </is>
      </c>
    </row>
    <row r="2" ht="28" customHeight="1" s="124">
      <c r="A2" s="137">
        <f>"ML Entregues: R$"&amp;TEXT(SUMIFS(D4:D72,B4:B72,"Mercado Livre",F4:F72,"delivered"),"#,##0.00")</f>
        <v/>
      </c>
      <c r="C2" s="140">
        <f>"iFood: R$"&amp;TEXT(SUMIFS(D4:D72,B4:B72,"iFood"),"#,##0.00")&amp;" ("&amp;COUNTIF(B4:B72,"iFood")&amp;" pedidos, "&amp;COUNTIFS(B4:B72,"iFood",D4:D72,"&gt;0")&amp;" com valor)"</f>
        <v/>
      </c>
      <c r="E2" s="134">
        <f>"Total Combinado: R$"&amp;TEXT(SUMIFS(D4:D72,B4:B72,"Mercado Livre",F4:F72,"delivered")+SUMIFS(D4:D72,B4:B72,"iFood"),"#,##0.00")</f>
        <v/>
      </c>
    </row>
    <row r="3" ht="26" customHeight="1" s="124">
      <c r="A3" s="112" t="inlineStr">
        <is>
          <t>Data</t>
        </is>
      </c>
      <c r="B3" s="112" t="inlineStr">
        <is>
          <t>Plataforma</t>
        </is>
      </c>
      <c r="C3" s="112" t="inlineStr">
        <is>
          <t>Produto / Restaurante</t>
        </is>
      </c>
      <c r="D3" s="112" t="inlineStr">
        <is>
          <t>Valor (R$)</t>
        </is>
      </c>
      <c r="E3" s="112" t="inlineStr">
        <is>
          <t>Categoria</t>
        </is>
      </c>
      <c r="F3" s="112" t="inlineStr">
        <is>
          <t>Status</t>
        </is>
      </c>
      <c r="G3" s="112" t="inlineStr">
        <is>
          <t>#</t>
        </is>
      </c>
    </row>
    <row r="4">
      <c r="A4" s="113" t="inlineStr">
        <is>
          <t>2026-06-16</t>
        </is>
      </c>
      <c r="B4" s="113" t="inlineStr">
        <is>
          <t>Mercado Livre</t>
        </is>
      </c>
      <c r="C4" s="114" t="inlineStr">
        <is>
          <t>Suporte Monitor Articulado Portátil Dobrável</t>
        </is>
      </c>
      <c r="D4" s="119" t="n">
        <v>144</v>
      </c>
      <c r="E4" s="113" t="inlineStr">
        <is>
          <t>Home Office</t>
        </is>
      </c>
      <c r="F4" s="113" t="inlineStr">
        <is>
          <t>delivered</t>
        </is>
      </c>
      <c r="G4" s="113" t="n">
        <v>1</v>
      </c>
    </row>
    <row r="5">
      <c r="A5" s="116" t="inlineStr">
        <is>
          <t>2026-06-08</t>
        </is>
      </c>
      <c r="B5" s="116" t="inlineStr">
        <is>
          <t>Mercado Livre</t>
        </is>
      </c>
      <c r="C5" s="117" t="inlineStr">
        <is>
          <t>Filtro De Ar Descartável Cpap Airmini Resmed</t>
        </is>
      </c>
      <c r="D5" s="120" t="n">
        <v>41.65</v>
      </c>
      <c r="E5" s="116" t="inlineStr">
        <is>
          <t>Saúde/CPAP</t>
        </is>
      </c>
      <c r="F5" s="116" t="inlineStr">
        <is>
          <t>delivered</t>
        </is>
      </c>
      <c r="G5" s="116" t="n">
        <v>2</v>
      </c>
    </row>
    <row r="6">
      <c r="A6" s="113" t="inlineStr">
        <is>
          <t>2026-06-03</t>
        </is>
      </c>
      <c r="B6" s="113" t="inlineStr">
        <is>
          <t>Mercado Livre</t>
        </is>
      </c>
      <c r="C6" s="114" t="inlineStr">
        <is>
          <t>Máscara Nasal Resmed Airfit N30i Apneia</t>
        </is>
      </c>
      <c r="D6" s="119" t="n">
        <v>480</v>
      </c>
      <c r="E6" s="113" t="inlineStr">
        <is>
          <t>Saúde/CPAP</t>
        </is>
      </c>
      <c r="F6" s="113" t="inlineStr">
        <is>
          <t>delivered</t>
        </is>
      </c>
      <c r="G6" s="113" t="n">
        <v>3</v>
      </c>
    </row>
    <row r="7">
      <c r="A7" s="116" t="inlineStr">
        <is>
          <t>2026-06-01</t>
        </is>
      </c>
      <c r="B7" s="116" t="inlineStr">
        <is>
          <t>Mercado Livre</t>
        </is>
      </c>
      <c r="C7" s="117" t="inlineStr">
        <is>
          <t>Macaco Hidráulico Tipo Jacaré 2ton Portátil</t>
        </is>
      </c>
      <c r="D7" s="120" t="n">
        <v>249.99</v>
      </c>
      <c r="E7" s="116" t="inlineStr">
        <is>
          <t>Ferramentas</t>
        </is>
      </c>
      <c r="F7" s="116" t="inlineStr">
        <is>
          <t>delivered</t>
        </is>
      </c>
      <c r="G7" s="116" t="n">
        <v>4</v>
      </c>
    </row>
    <row r="8">
      <c r="A8" s="113" t="inlineStr">
        <is>
          <t>2026-05-30</t>
        </is>
      </c>
      <c r="B8" s="113" t="inlineStr">
        <is>
          <t>iFood</t>
        </is>
      </c>
      <c r="C8" s="114" t="inlineStr">
        <is>
          <t>Pipa Sushi &amp; Temakeria – 1x Monte Seu Poke</t>
        </is>
      </c>
      <c r="D8" s="115" t="n">
        <v>90.29000000000001</v>
      </c>
      <c r="E8" s="113" t="inlineStr">
        <is>
          <t>Delivery/Sushi</t>
        </is>
      </c>
      <c r="F8" s="113" t="inlineStr">
        <is>
          <t>delivered</t>
        </is>
      </c>
      <c r="G8" s="113" t="n">
        <v>5</v>
      </c>
    </row>
    <row r="9">
      <c r="A9" s="116" t="inlineStr">
        <is>
          <t>2026-05-18</t>
        </is>
      </c>
      <c r="B9" s="116" t="inlineStr">
        <is>
          <t>iFood</t>
        </is>
      </c>
      <c r="C9" s="117" t="inlineStr">
        <is>
          <t>Pipa Sushi &amp; Temakeria – 1x Monte Seu Poke</t>
        </is>
      </c>
      <c r="D9" s="118" t="n">
        <v>67.31</v>
      </c>
      <c r="E9" s="116" t="inlineStr">
        <is>
          <t>Delivery/Sushi</t>
        </is>
      </c>
      <c r="F9" s="116" t="inlineStr">
        <is>
          <t>delivered</t>
        </is>
      </c>
      <c r="G9" s="116" t="n">
        <v>6</v>
      </c>
    </row>
    <row r="10">
      <c r="A10" s="113" t="inlineStr">
        <is>
          <t>2026-05-16</t>
        </is>
      </c>
      <c r="B10" s="113" t="inlineStr">
        <is>
          <t>iFood</t>
        </is>
      </c>
      <c r="C10" s="114" t="inlineStr">
        <is>
          <t>Maria Baunilha Confeitaria – 1x Trio Maria Baunilha</t>
        </is>
      </c>
      <c r="D10" s="115" t="n">
        <v>73.03</v>
      </c>
      <c r="E10" s="113" t="inlineStr">
        <is>
          <t>Delivery/Confeitaria</t>
        </is>
      </c>
      <c r="F10" s="113" t="inlineStr">
        <is>
          <t>delivered</t>
        </is>
      </c>
      <c r="G10" s="113" t="n">
        <v>7</v>
      </c>
    </row>
    <row r="11">
      <c r="A11" s="116" t="inlineStr">
        <is>
          <t>2026-05-11</t>
        </is>
      </c>
      <c r="B11" s="116" t="inlineStr">
        <is>
          <t>Mercado Livre</t>
        </is>
      </c>
      <c r="C11" s="117" t="inlineStr">
        <is>
          <t>Câmera Inteligente Im7 3mp De Resolução</t>
        </is>
      </c>
      <c r="D11" s="120" t="n">
        <v>429.9</v>
      </c>
      <c r="E11" s="116" t="inlineStr">
        <is>
          <t>Eletrônicos</t>
        </is>
      </c>
      <c r="F11" s="116" t="inlineStr">
        <is>
          <t>delivered</t>
        </is>
      </c>
      <c r="G11" s="116" t="n">
        <v>8</v>
      </c>
    </row>
    <row r="12">
      <c r="A12" s="113" t="inlineStr">
        <is>
          <t>2026-05-11</t>
        </is>
      </c>
      <c r="B12" s="113" t="inlineStr">
        <is>
          <t>iFood</t>
        </is>
      </c>
      <c r="C12" s="114" t="inlineStr">
        <is>
          <t>iFood (taxa/pedido) – -</t>
        </is>
      </c>
      <c r="D12" s="115" t="n">
        <v>7.95</v>
      </c>
      <c r="E12" s="113" t="inlineStr">
        <is>
          <t>Delivery/Taxa</t>
        </is>
      </c>
      <c r="F12" s="113" t="inlineStr">
        <is>
          <t>delivered</t>
        </is>
      </c>
      <c r="G12" s="113" t="n">
        <v>9</v>
      </c>
    </row>
    <row r="13">
      <c r="A13" s="116" t="inlineStr">
        <is>
          <t>2026-05-09</t>
        </is>
      </c>
      <c r="B13" s="116" t="inlineStr">
        <is>
          <t>Mercado Livre</t>
        </is>
      </c>
      <c r="C13" s="117" t="inlineStr">
        <is>
          <t>Sensor Presença Humana Radar Inteligente</t>
        </is>
      </c>
      <c r="D13" s="120" t="n">
        <v>379.98</v>
      </c>
      <c r="E13" s="116" t="inlineStr">
        <is>
          <t>Eletrônicos</t>
        </is>
      </c>
      <c r="F13" s="116" t="inlineStr">
        <is>
          <t>delivered</t>
        </is>
      </c>
      <c r="G13" s="116" t="n">
        <v>10</v>
      </c>
    </row>
    <row r="14">
      <c r="A14" s="113" t="inlineStr">
        <is>
          <t>2026-05-03</t>
        </is>
      </c>
      <c r="B14" s="113" t="inlineStr">
        <is>
          <t>Mercado Livre</t>
        </is>
      </c>
      <c r="C14" s="114" t="inlineStr">
        <is>
          <t>Prateleira Estilo Industrial Suporte Em Madeira</t>
        </is>
      </c>
      <c r="D14" s="119" t="n">
        <v>132</v>
      </c>
      <c r="E14" s="113" t="inlineStr">
        <is>
          <t>Casa</t>
        </is>
      </c>
      <c r="F14" s="113" t="inlineStr">
        <is>
          <t>delivered</t>
        </is>
      </c>
      <c r="G14" s="113" t="n">
        <v>11</v>
      </c>
    </row>
    <row r="15">
      <c r="A15" s="116" t="inlineStr">
        <is>
          <t>2026-05-02</t>
        </is>
      </c>
      <c r="B15" s="116" t="inlineStr">
        <is>
          <t>iFood</t>
        </is>
      </c>
      <c r="C15" s="117" t="inlineStr">
        <is>
          <t>Bianca Tolêdo Confeitaria – 1x Cake Moça e Morango + 1x Cake Cenoura</t>
        </is>
      </c>
      <c r="D15" s="121" t="inlineStr">
        <is>
          <t>—</t>
        </is>
      </c>
      <c r="E15" s="116" t="inlineStr">
        <is>
          <t>Delivery/Confeitaria</t>
        </is>
      </c>
      <c r="F15" s="116" t="inlineStr">
        <is>
          <t>delivered</t>
        </is>
      </c>
      <c r="G15" s="116" t="n">
        <v>12</v>
      </c>
    </row>
    <row r="16">
      <c r="A16" s="113" t="inlineStr">
        <is>
          <t>2026-04-29</t>
        </is>
      </c>
      <c r="B16" s="113" t="inlineStr">
        <is>
          <t>Mercado Livre</t>
        </is>
      </c>
      <c r="C16" s="114" t="inlineStr">
        <is>
          <t>Relógio Parede Digital Grande Calendário</t>
        </is>
      </c>
      <c r="D16" s="119" t="n">
        <v>105.99</v>
      </c>
      <c r="E16" s="113" t="inlineStr">
        <is>
          <t>Casa</t>
        </is>
      </c>
      <c r="F16" s="113" t="inlineStr">
        <is>
          <t>delivered</t>
        </is>
      </c>
      <c r="G16" s="113" t="n">
        <v>13</v>
      </c>
    </row>
    <row r="17">
      <c r="A17" s="116" t="inlineStr">
        <is>
          <t>2026-04-27</t>
        </is>
      </c>
      <c r="B17" s="116" t="inlineStr">
        <is>
          <t>Mercado Livre</t>
        </is>
      </c>
      <c r="C17" s="117" t="inlineStr">
        <is>
          <t>Álcool Isopropílico Quimivida 1l 99,8%</t>
        </is>
      </c>
      <c r="D17" s="120" t="n">
        <v>71.94</v>
      </c>
      <c r="E17" s="116" t="inlineStr">
        <is>
          <t>Higiene</t>
        </is>
      </c>
      <c r="F17" s="116" t="inlineStr">
        <is>
          <t>delivered</t>
        </is>
      </c>
      <c r="G17" s="116" t="n">
        <v>14</v>
      </c>
    </row>
    <row r="18">
      <c r="A18" s="113" t="inlineStr">
        <is>
          <t>2026-04-27</t>
        </is>
      </c>
      <c r="B18" s="113" t="inlineStr">
        <is>
          <t>iFood</t>
        </is>
      </c>
      <c r="C18" s="114" t="inlineStr">
        <is>
          <t>Bianca Tolêdo Confeitaria – 1x Promoção: 2 Cake in box</t>
        </is>
      </c>
      <c r="D18" s="122" t="inlineStr">
        <is>
          <t>—</t>
        </is>
      </c>
      <c r="E18" s="113" t="inlineStr">
        <is>
          <t>Delivery/Confeitaria</t>
        </is>
      </c>
      <c r="F18" s="113" t="inlineStr">
        <is>
          <t>delivered</t>
        </is>
      </c>
      <c r="G18" s="113" t="n">
        <v>15</v>
      </c>
    </row>
    <row r="19">
      <c r="A19" s="116" t="inlineStr">
        <is>
          <t>2026-04-22</t>
        </is>
      </c>
      <c r="B19" s="116" t="inlineStr">
        <is>
          <t>Mercado Livre</t>
        </is>
      </c>
      <c r="C19" s="117" t="inlineStr">
        <is>
          <t>Organizador De Fios E Cabos Baixo Mesa</t>
        </is>
      </c>
      <c r="D19" s="120" t="n">
        <v>36.9</v>
      </c>
      <c r="E19" s="116" t="inlineStr">
        <is>
          <t>Home Office</t>
        </is>
      </c>
      <c r="F19" s="116" t="inlineStr">
        <is>
          <t>delivered</t>
        </is>
      </c>
      <c r="G19" s="116" t="n">
        <v>16</v>
      </c>
    </row>
    <row r="20">
      <c r="A20" s="113" t="inlineStr">
        <is>
          <t>2026-04-20</t>
        </is>
      </c>
      <c r="B20" s="113" t="inlineStr">
        <is>
          <t>iFood</t>
        </is>
      </c>
      <c r="C20" s="114" t="inlineStr">
        <is>
          <t>Jurassic Pizza - Bessa – 1x Combo 1 - Pizza G + Refri 1l</t>
        </is>
      </c>
      <c r="D20" s="115" t="n">
        <v>74.88</v>
      </c>
      <c r="E20" s="113" t="inlineStr">
        <is>
          <t>Delivery/Pizza</t>
        </is>
      </c>
      <c r="F20" s="113" t="inlineStr">
        <is>
          <t>delivered</t>
        </is>
      </c>
      <c r="G20" s="113" t="n">
        <v>17</v>
      </c>
    </row>
    <row r="21">
      <c r="A21" s="116" t="inlineStr">
        <is>
          <t>2026-04-17</t>
        </is>
      </c>
      <c r="B21" s="116" t="inlineStr">
        <is>
          <t>Mercado Livre</t>
        </is>
      </c>
      <c r="C21" s="117" t="inlineStr">
        <is>
          <t>Kit Teste Ouro Pedra De Toque + Ácido 22k</t>
        </is>
      </c>
      <c r="D21" s="120" t="n">
        <v>69.90000000000001</v>
      </c>
      <c r="E21" s="116" t="inlineStr">
        <is>
          <t>Outros</t>
        </is>
      </c>
      <c r="F21" s="116" t="inlineStr">
        <is>
          <t>delivered</t>
        </is>
      </c>
      <c r="G21" s="116" t="n">
        <v>18</v>
      </c>
    </row>
    <row r="22">
      <c r="A22" s="113" t="inlineStr">
        <is>
          <t>2026-04-16</t>
        </is>
      </c>
      <c r="B22" s="113" t="inlineStr">
        <is>
          <t>Mercado Livre</t>
        </is>
      </c>
      <c r="C22" s="114" t="inlineStr">
        <is>
          <t>For I 2 Dispositivo De Ronco Elétrico</t>
        </is>
      </c>
      <c r="D22" s="119" t="n">
        <v>62.25</v>
      </c>
      <c r="E22" s="113" t="inlineStr">
        <is>
          <t>Saúde/CPAP</t>
        </is>
      </c>
      <c r="F22" s="113" t="inlineStr">
        <is>
          <t>delivered</t>
        </is>
      </c>
      <c r="G22" s="113" t="n">
        <v>19</v>
      </c>
    </row>
    <row r="23">
      <c r="A23" s="116" t="inlineStr">
        <is>
          <t>2026-04-12</t>
        </is>
      </c>
      <c r="B23" s="116" t="inlineStr">
        <is>
          <t>Mercado Livre</t>
        </is>
      </c>
      <c r="C23" s="117" t="inlineStr">
        <is>
          <t>Bravecto 4,5 A 10 Kg Antipulgas</t>
        </is>
      </c>
      <c r="D23" s="120" t="n">
        <v>162.9</v>
      </c>
      <c r="E23" s="116" t="inlineStr">
        <is>
          <t>Pet</t>
        </is>
      </c>
      <c r="F23" s="116" t="inlineStr">
        <is>
          <t>delivered</t>
        </is>
      </c>
      <c r="G23" s="116" t="n">
        <v>20</v>
      </c>
    </row>
    <row r="24">
      <c r="A24" s="113" t="inlineStr">
        <is>
          <t>2026-04-05</t>
        </is>
      </c>
      <c r="B24" s="113" t="inlineStr">
        <is>
          <t>Mercado Livre</t>
        </is>
      </c>
      <c r="C24" s="114" t="inlineStr">
        <is>
          <t>Antipulgas Bravecto Original De 20 A 40 Kg</t>
        </is>
      </c>
      <c r="D24" s="119" t="n">
        <v>440</v>
      </c>
      <c r="E24" s="113" t="inlineStr">
        <is>
          <t>Pet</t>
        </is>
      </c>
      <c r="F24" s="113" t="inlineStr">
        <is>
          <t>delivered</t>
        </is>
      </c>
      <c r="G24" s="113" t="n">
        <v>21</v>
      </c>
    </row>
    <row r="25">
      <c r="A25" s="116" t="inlineStr">
        <is>
          <t>2026-04-03</t>
        </is>
      </c>
      <c r="B25" s="116" t="inlineStr">
        <is>
          <t>iFood</t>
        </is>
      </c>
      <c r="C25" s="117" t="inlineStr">
        <is>
          <t>Matterello Pizza – 2x M (8 FATIAS) 2 SABORES</t>
        </is>
      </c>
      <c r="D25" s="121" t="inlineStr">
        <is>
          <t>—</t>
        </is>
      </c>
      <c r="E25" s="116" t="inlineStr">
        <is>
          <t>Delivery/Pizza</t>
        </is>
      </c>
      <c r="F25" s="116" t="inlineStr">
        <is>
          <t>delivered</t>
        </is>
      </c>
      <c r="G25" s="116" t="n">
        <v>22</v>
      </c>
    </row>
    <row r="26">
      <c r="A26" s="113" t="inlineStr">
        <is>
          <t>2026-03-XX</t>
        </is>
      </c>
      <c r="B26" s="113" t="inlineStr">
        <is>
          <t>Mercado Livre</t>
        </is>
      </c>
      <c r="C26" s="114" t="inlineStr">
        <is>
          <t>4 produtos Mercado Livre</t>
        </is>
      </c>
      <c r="D26" s="119" t="n">
        <v>824.5</v>
      </c>
      <c r="E26" s="113" t="inlineStr">
        <is>
          <t>Cancelado</t>
        </is>
      </c>
      <c r="F26" s="113" t="inlineStr">
        <is>
          <t>cancelled</t>
        </is>
      </c>
      <c r="G26" s="113" t="n">
        <v>23</v>
      </c>
    </row>
    <row r="27">
      <c r="A27" s="116" t="inlineStr">
        <is>
          <t>2026-03-30</t>
        </is>
      </c>
      <c r="B27" s="116" t="inlineStr">
        <is>
          <t>Mercado Livre</t>
        </is>
      </c>
      <c r="C27" s="117" t="inlineStr">
        <is>
          <t>Vittak Defletor Ar Condicionado Split</t>
        </is>
      </c>
      <c r="D27" s="120" t="n">
        <v>27.9</v>
      </c>
      <c r="E27" s="116" t="inlineStr">
        <is>
          <t>Casa</t>
        </is>
      </c>
      <c r="F27" s="116" t="inlineStr">
        <is>
          <t>delivered</t>
        </is>
      </c>
      <c r="G27" s="116" t="n">
        <v>24</v>
      </c>
    </row>
    <row r="28">
      <c r="A28" s="113" t="inlineStr">
        <is>
          <t>2026-03-30</t>
        </is>
      </c>
      <c r="B28" s="113" t="inlineStr">
        <is>
          <t>Mercado Livre</t>
        </is>
      </c>
      <c r="C28" s="114" t="inlineStr">
        <is>
          <t>Traqueia Cpap Pvc Cinza 22mm X 1,80m</t>
        </is>
      </c>
      <c r="D28" s="119" t="n">
        <v>49.9</v>
      </c>
      <c r="E28" s="113" t="inlineStr">
        <is>
          <t>Saúde/CPAP</t>
        </is>
      </c>
      <c r="F28" s="113" t="inlineStr">
        <is>
          <t>delivered</t>
        </is>
      </c>
      <c r="G28" s="113" t="n">
        <v>25</v>
      </c>
    </row>
    <row r="29">
      <c r="A29" s="116" t="inlineStr">
        <is>
          <t>2026-03-29</t>
        </is>
      </c>
      <c r="B29" s="116" t="inlineStr">
        <is>
          <t>Mercado Livre</t>
        </is>
      </c>
      <c r="C29" s="117" t="inlineStr">
        <is>
          <t>Lavadora De Alta Pressão Wap Premier 2600</t>
        </is>
      </c>
      <c r="D29" s="120" t="n">
        <v>919</v>
      </c>
      <c r="E29" s="116" t="inlineStr">
        <is>
          <t>Casa</t>
        </is>
      </c>
      <c r="F29" s="116" t="inlineStr">
        <is>
          <t>delivered</t>
        </is>
      </c>
      <c r="G29" s="116" t="n">
        <v>26</v>
      </c>
    </row>
    <row r="30">
      <c r="A30" s="113" t="inlineStr">
        <is>
          <t>2026-03-28</t>
        </is>
      </c>
      <c r="B30" s="113" t="inlineStr">
        <is>
          <t>Mercado Livre</t>
        </is>
      </c>
      <c r="C30" s="114" t="inlineStr">
        <is>
          <t>Water Cooler Argb 240mm Pwm Para Cpu</t>
        </is>
      </c>
      <c r="D30" s="119" t="n">
        <v>399.99</v>
      </c>
      <c r="E30" s="113" t="inlineStr">
        <is>
          <t>Eletrônicos</t>
        </is>
      </c>
      <c r="F30" s="113" t="inlineStr">
        <is>
          <t>delivered</t>
        </is>
      </c>
      <c r="G30" s="113" t="n">
        <v>27</v>
      </c>
    </row>
    <row r="31">
      <c r="A31" s="116" t="inlineStr">
        <is>
          <t>2026-03-27</t>
        </is>
      </c>
      <c r="B31" s="116" t="inlineStr">
        <is>
          <t>Mercado Livre</t>
        </is>
      </c>
      <c r="C31" s="117" t="inlineStr">
        <is>
          <t>Tapete Protetor De Piso Cadeira Gamer</t>
        </is>
      </c>
      <c r="D31" s="120" t="n">
        <v>151.8</v>
      </c>
      <c r="E31" s="116" t="inlineStr">
        <is>
          <t>Home Office</t>
        </is>
      </c>
      <c r="F31" s="116" t="inlineStr">
        <is>
          <t>delivered</t>
        </is>
      </c>
      <c r="G31" s="116" t="n">
        <v>28</v>
      </c>
    </row>
    <row r="32">
      <c r="A32" s="113" t="inlineStr">
        <is>
          <t>2026-03-25</t>
        </is>
      </c>
      <c r="B32" s="113" t="inlineStr">
        <is>
          <t>Mercado Livre</t>
        </is>
      </c>
      <c r="C32" s="114" t="inlineStr">
        <is>
          <t>Electrolux Filtro/refil De Água Acqua Pure</t>
        </is>
      </c>
      <c r="D32" s="119" t="n">
        <v>69.90000000000001</v>
      </c>
      <c r="E32" s="113" t="inlineStr">
        <is>
          <t>Casa</t>
        </is>
      </c>
      <c r="F32" s="113" t="inlineStr">
        <is>
          <t>delivered</t>
        </is>
      </c>
      <c r="G32" s="113" t="n">
        <v>29</v>
      </c>
    </row>
    <row r="33">
      <c r="A33" s="116" t="inlineStr">
        <is>
          <t>2026-03-25</t>
        </is>
      </c>
      <c r="B33" s="116" t="inlineStr">
        <is>
          <t>Mercado Livre</t>
        </is>
      </c>
      <c r="C33" s="117" t="inlineStr">
        <is>
          <t>Luminária Led 3d De Mesa Logo Personalizada</t>
        </is>
      </c>
      <c r="D33" s="120" t="n">
        <v>137.86</v>
      </c>
      <c r="E33" s="116" t="inlineStr">
        <is>
          <t>Home Office</t>
        </is>
      </c>
      <c r="F33" s="116" t="inlineStr">
        <is>
          <t>delivered</t>
        </is>
      </c>
      <c r="G33" s="116" t="n">
        <v>30</v>
      </c>
    </row>
    <row r="34">
      <c r="A34" s="113" t="inlineStr">
        <is>
          <t>2026-03-24</t>
        </is>
      </c>
      <c r="B34" s="113" t="inlineStr">
        <is>
          <t>Mercado Livre</t>
        </is>
      </c>
      <c r="C34" s="114" t="inlineStr">
        <is>
          <t>Filtro De Café 51mm Não Pressurizado Inox</t>
        </is>
      </c>
      <c r="D34" s="119" t="n">
        <v>54.9</v>
      </c>
      <c r="E34" s="113" t="inlineStr">
        <is>
          <t>Casa</t>
        </is>
      </c>
      <c r="F34" s="113" t="inlineStr">
        <is>
          <t>delivered</t>
        </is>
      </c>
      <c r="G34" s="113" t="n">
        <v>31</v>
      </c>
    </row>
    <row r="35">
      <c r="A35" s="116" t="inlineStr">
        <is>
          <t>2026-03-23</t>
        </is>
      </c>
      <c r="B35" s="116" t="inlineStr">
        <is>
          <t>Mercado Livre</t>
        </is>
      </c>
      <c r="C35" s="117" t="inlineStr">
        <is>
          <t>Máquina De Gelo Turbo Ice Premium Mondial</t>
        </is>
      </c>
      <c r="D35" s="120" t="n">
        <v>699.9</v>
      </c>
      <c r="E35" s="116" t="inlineStr">
        <is>
          <t>Eletrodomésticos</t>
        </is>
      </c>
      <c r="F35" s="116" t="inlineStr">
        <is>
          <t>delivered</t>
        </is>
      </c>
      <c r="G35" s="116" t="n">
        <v>32</v>
      </c>
    </row>
    <row r="36">
      <c r="A36" s="113" t="inlineStr">
        <is>
          <t>2026-03-22</t>
        </is>
      </c>
      <c r="B36" s="113" t="inlineStr">
        <is>
          <t>Mercado Livre</t>
        </is>
      </c>
      <c r="C36" s="114" t="inlineStr">
        <is>
          <t>Relógio Digital Mesa Led Wooden Clock</t>
        </is>
      </c>
      <c r="D36" s="119" t="n">
        <v>49.83</v>
      </c>
      <c r="E36" s="113" t="inlineStr">
        <is>
          <t>Casa</t>
        </is>
      </c>
      <c r="F36" s="113" t="inlineStr">
        <is>
          <t>delivered</t>
        </is>
      </c>
      <c r="G36" s="113" t="n">
        <v>33</v>
      </c>
    </row>
    <row r="37">
      <c r="A37" s="116" t="inlineStr">
        <is>
          <t>2026-03-22</t>
        </is>
      </c>
      <c r="B37" s="116" t="inlineStr">
        <is>
          <t>Mercado Livre</t>
        </is>
      </c>
      <c r="C37" s="117" t="inlineStr">
        <is>
          <t>Desk Pad Mouse Pad 90x40 Extra Grande</t>
        </is>
      </c>
      <c r="D37" s="120" t="n">
        <v>41.24</v>
      </c>
      <c r="E37" s="116" t="inlineStr">
        <is>
          <t>Home Office</t>
        </is>
      </c>
      <c r="F37" s="116" t="inlineStr">
        <is>
          <t>delivered</t>
        </is>
      </c>
      <c r="G37" s="116" t="n">
        <v>34</v>
      </c>
    </row>
    <row r="38">
      <c r="A38" s="113" t="inlineStr">
        <is>
          <t>2026-03-20</t>
        </is>
      </c>
      <c r="B38" s="113" t="inlineStr">
        <is>
          <t>Mercado Livre</t>
        </is>
      </c>
      <c r="C38" s="114" t="inlineStr">
        <is>
          <t>Traqueia Para Air Mini Tubing Resmed 38822</t>
        </is>
      </c>
      <c r="D38" s="119" t="n">
        <v>285.95</v>
      </c>
      <c r="E38" s="113" t="inlineStr">
        <is>
          <t>Saúde/CPAP</t>
        </is>
      </c>
      <c r="F38" s="113" t="inlineStr">
        <is>
          <t>delivered</t>
        </is>
      </c>
      <c r="G38" s="113" t="n">
        <v>35</v>
      </c>
    </row>
    <row r="39">
      <c r="A39" s="116" t="inlineStr">
        <is>
          <t>2026-03-18</t>
        </is>
      </c>
      <c r="B39" s="116" t="inlineStr">
        <is>
          <t>Mercado Livre</t>
        </is>
      </c>
      <c r="C39" s="117" t="inlineStr">
        <is>
          <t>Umidificador Resmed Humidx Plus Para Cpap</t>
        </is>
      </c>
      <c r="D39" s="120" t="n">
        <v>86.33</v>
      </c>
      <c r="E39" s="116" t="inlineStr">
        <is>
          <t>Saúde/CPAP</t>
        </is>
      </c>
      <c r="F39" s="116" t="inlineStr">
        <is>
          <t>delivered</t>
        </is>
      </c>
      <c r="G39" s="116" t="n">
        <v>36</v>
      </c>
    </row>
    <row r="40">
      <c r="A40" s="113" t="inlineStr">
        <is>
          <t>2026-03-16</t>
        </is>
      </c>
      <c r="B40" s="113" t="inlineStr">
        <is>
          <t>Mercado Livre</t>
        </is>
      </c>
      <c r="C40" s="114" t="inlineStr">
        <is>
          <t>Capa Tv Televisão 32–75 Polegadas</t>
        </is>
      </c>
      <c r="D40" s="119" t="n">
        <v>110.38</v>
      </c>
      <c r="E40" s="113" t="inlineStr">
        <is>
          <t>Casa</t>
        </is>
      </c>
      <c r="F40" s="113" t="inlineStr">
        <is>
          <t>delivered</t>
        </is>
      </c>
      <c r="G40" s="113" t="n">
        <v>37</v>
      </c>
    </row>
    <row r="41">
      <c r="A41" s="116" t="inlineStr">
        <is>
          <t>2026-03-16</t>
        </is>
      </c>
      <c r="B41" s="116" t="inlineStr">
        <is>
          <t>Mercado Livre</t>
        </is>
      </c>
      <c r="C41" s="117" t="inlineStr">
        <is>
          <t>Melhor Pegboard Setup Gamer Home Office</t>
        </is>
      </c>
      <c r="D41" s="120" t="n">
        <v>63.9</v>
      </c>
      <c r="E41" s="116" t="inlineStr">
        <is>
          <t>Home Office</t>
        </is>
      </c>
      <c r="F41" s="116" t="inlineStr">
        <is>
          <t>delivered</t>
        </is>
      </c>
      <c r="G41" s="116" t="n">
        <v>38</v>
      </c>
    </row>
    <row r="42">
      <c r="A42" s="113" t="inlineStr">
        <is>
          <t>2026-03-16</t>
        </is>
      </c>
      <c r="B42" s="113" t="inlineStr">
        <is>
          <t>Mercado Livre</t>
        </is>
      </c>
      <c r="C42" s="114" t="inlineStr">
        <is>
          <t>Organizador De Cabos E Fios 5 Metros</t>
        </is>
      </c>
      <c r="D42" s="119" t="n">
        <v>22.7</v>
      </c>
      <c r="E42" s="113" t="inlineStr">
        <is>
          <t>Home Office</t>
        </is>
      </c>
      <c r="F42" s="113" t="inlineStr">
        <is>
          <t>delivered</t>
        </is>
      </c>
      <c r="G42" s="113" t="n">
        <v>39</v>
      </c>
    </row>
    <row r="43">
      <c r="A43" s="116" t="inlineStr">
        <is>
          <t>2026-03-16</t>
        </is>
      </c>
      <c r="B43" s="116" t="inlineStr">
        <is>
          <t>Mercado Livre</t>
        </is>
      </c>
      <c r="C43" s="117" t="inlineStr">
        <is>
          <t>Luminária Barra Led Mesa Duas Cabeças</t>
        </is>
      </c>
      <c r="D43" s="120" t="n">
        <v>127.4</v>
      </c>
      <c r="E43" s="116" t="inlineStr">
        <is>
          <t>Home Office</t>
        </is>
      </c>
      <c r="F43" s="116" t="inlineStr">
        <is>
          <t>delivered</t>
        </is>
      </c>
      <c r="G43" s="116" t="n">
        <v>40</v>
      </c>
    </row>
    <row r="44">
      <c r="A44" s="113" t="inlineStr">
        <is>
          <t>2026-03-16</t>
        </is>
      </c>
      <c r="B44" s="113" t="inlineStr">
        <is>
          <t>Mercado Livre</t>
        </is>
      </c>
      <c r="C44" s="114" t="inlineStr">
        <is>
          <t>Bolsa Organizadora De Cabo Fio Eletrônico</t>
        </is>
      </c>
      <c r="D44" s="119" t="n">
        <v>20.67</v>
      </c>
      <c r="E44" s="113" t="inlineStr">
        <is>
          <t>Home Office</t>
        </is>
      </c>
      <c r="F44" s="113" t="inlineStr">
        <is>
          <t>delivered</t>
        </is>
      </c>
      <c r="G44" s="113" t="n">
        <v>41</v>
      </c>
    </row>
    <row r="45">
      <c r="A45" s="116" t="inlineStr">
        <is>
          <t>2026-03-16</t>
        </is>
      </c>
      <c r="B45" s="116" t="inlineStr">
        <is>
          <t>Mercado Livre</t>
        </is>
      </c>
      <c r="C45" s="117" t="inlineStr">
        <is>
          <t>Organizador De Gavetas Escritório Maxcril</t>
        </is>
      </c>
      <c r="D45" s="120" t="n">
        <v>36.9</v>
      </c>
      <c r="E45" s="116" t="inlineStr">
        <is>
          <t>Home Office</t>
        </is>
      </c>
      <c r="F45" s="116" t="inlineStr">
        <is>
          <t>delivered</t>
        </is>
      </c>
      <c r="G45" s="116" t="n">
        <v>42</v>
      </c>
    </row>
    <row r="46">
      <c r="A46" s="113" t="inlineStr">
        <is>
          <t>2026-03-16</t>
        </is>
      </c>
      <c r="B46" s="113" t="inlineStr">
        <is>
          <t>Mercado Livre</t>
        </is>
      </c>
      <c r="C46" s="114" t="inlineStr">
        <is>
          <t>Cpap Portátil Resmed Airmini Automático</t>
        </is>
      </c>
      <c r="D46" s="119" t="n">
        <v>4980.91</v>
      </c>
      <c r="E46" s="113" t="inlineStr">
        <is>
          <t>Saúde/CPAP</t>
        </is>
      </c>
      <c r="F46" s="113" t="inlineStr">
        <is>
          <t>delivered</t>
        </is>
      </c>
      <c r="G46" s="113" t="n">
        <v>43</v>
      </c>
    </row>
    <row r="47">
      <c r="A47" s="116" t="inlineStr">
        <is>
          <t>2026-03-13</t>
        </is>
      </c>
      <c r="B47" s="116" t="inlineStr">
        <is>
          <t>Mercado Livre</t>
        </is>
      </c>
      <c r="C47" s="117" t="inlineStr">
        <is>
          <t>Mousepad Grande Programação AtalhosPhy</t>
        </is>
      </c>
      <c r="D47" s="120" t="n">
        <v>59.9</v>
      </c>
      <c r="E47" s="116" t="inlineStr">
        <is>
          <t>Home Office</t>
        </is>
      </c>
      <c r="F47" s="116" t="inlineStr">
        <is>
          <t>delivered</t>
        </is>
      </c>
      <c r="G47" s="116" t="n">
        <v>44</v>
      </c>
    </row>
    <row r="48">
      <c r="A48" s="113" t="inlineStr">
        <is>
          <t>2026-03-12</t>
        </is>
      </c>
      <c r="B48" s="113" t="inlineStr">
        <is>
          <t>Mercado Livre</t>
        </is>
      </c>
      <c r="C48" s="114" t="inlineStr">
        <is>
          <t>Teclas Avulsas Teclado Magic Keyboard Apple</t>
        </is>
      </c>
      <c r="D48" s="119" t="n">
        <v>79</v>
      </c>
      <c r="E48" s="113" t="inlineStr">
        <is>
          <t>Eletrônicos</t>
        </is>
      </c>
      <c r="F48" s="113" t="inlineStr">
        <is>
          <t>delivered</t>
        </is>
      </c>
      <c r="G48" s="113" t="n">
        <v>45</v>
      </c>
    </row>
    <row r="49">
      <c r="A49" s="116" t="inlineStr">
        <is>
          <t>2026-03-12</t>
        </is>
      </c>
      <c r="B49" s="116" t="inlineStr">
        <is>
          <t>Mercado Livre</t>
        </is>
      </c>
      <c r="C49" s="117" t="inlineStr">
        <is>
          <t>Chinelo Hoka One One Ora Athletic Slide</t>
        </is>
      </c>
      <c r="D49" s="120" t="n">
        <v>599.9</v>
      </c>
      <c r="E49" s="116" t="inlineStr">
        <is>
          <t>Vestuário</t>
        </is>
      </c>
      <c r="F49" s="116" t="inlineStr">
        <is>
          <t>delivered</t>
        </is>
      </c>
      <c r="G49" s="116" t="n">
        <v>46</v>
      </c>
    </row>
    <row r="50">
      <c r="A50" s="113" t="inlineStr">
        <is>
          <t>2026-03-12</t>
        </is>
      </c>
      <c r="B50" s="113" t="inlineStr">
        <is>
          <t>Mercado Livre</t>
        </is>
      </c>
      <c r="C50" s="114" t="inlineStr">
        <is>
          <t>Tênis Hoka Mach 6 Masculino Azul Jeans</t>
        </is>
      </c>
      <c r="D50" s="119" t="n">
        <v>1009.78</v>
      </c>
      <c r="E50" s="113" t="inlineStr">
        <is>
          <t>Vestuário</t>
        </is>
      </c>
      <c r="F50" s="113" t="inlineStr">
        <is>
          <t>delivered</t>
        </is>
      </c>
      <c r="G50" s="113" t="n">
        <v>47</v>
      </c>
    </row>
    <row r="51">
      <c r="A51" s="116" t="inlineStr">
        <is>
          <t>2026-03-10</t>
        </is>
      </c>
      <c r="B51" s="116" t="inlineStr">
        <is>
          <t>Mercado Livre</t>
        </is>
      </c>
      <c r="C51" s="117" t="inlineStr">
        <is>
          <t>Lanterna De Mergulho F9 Inton Alto Desempenho</t>
        </is>
      </c>
      <c r="D51" s="120" t="n">
        <v>558.72</v>
      </c>
      <c r="E51" s="116" t="inlineStr">
        <is>
          <t>Esportes</t>
        </is>
      </c>
      <c r="F51" s="116" t="inlineStr">
        <is>
          <t>delivered</t>
        </is>
      </c>
      <c r="G51" s="116" t="n">
        <v>48</v>
      </c>
    </row>
    <row r="52">
      <c r="A52" s="113" t="inlineStr">
        <is>
          <t>2026-03-10</t>
        </is>
      </c>
      <c r="B52" s="113" t="inlineStr">
        <is>
          <t>Mercado Livre</t>
        </is>
      </c>
      <c r="C52" s="114" t="inlineStr">
        <is>
          <t>Filtro De Café De Aço Inoxidável 1 Copo 51mm</t>
        </is>
      </c>
      <c r="D52" s="119" t="n">
        <v>72.67</v>
      </c>
      <c r="E52" s="113" t="inlineStr">
        <is>
          <t>Casa</t>
        </is>
      </c>
      <c r="F52" s="113" t="inlineStr">
        <is>
          <t>delivered</t>
        </is>
      </c>
      <c r="G52" s="113" t="n">
        <v>49</v>
      </c>
    </row>
    <row r="53">
      <c r="A53" s="116" t="inlineStr">
        <is>
          <t>2026-03-09</t>
        </is>
      </c>
      <c r="B53" s="116" t="inlineStr">
        <is>
          <t>Mercado Livre</t>
        </is>
      </c>
      <c r="C53" s="117" t="inlineStr">
        <is>
          <t>Kit 4 Dilatador Nasal Espiral Anti Ronco</t>
        </is>
      </c>
      <c r="D53" s="120" t="n">
        <v>21.89</v>
      </c>
      <c r="E53" s="116" t="inlineStr">
        <is>
          <t>Saúde/CPAP</t>
        </is>
      </c>
      <c r="F53" s="116" t="inlineStr">
        <is>
          <t>delivered</t>
        </is>
      </c>
      <c r="G53" s="116" t="n">
        <v>50</v>
      </c>
    </row>
    <row r="54">
      <c r="A54" s="113" t="inlineStr">
        <is>
          <t>2026-03-09</t>
        </is>
      </c>
      <c r="B54" s="113" t="inlineStr">
        <is>
          <t>Mercado Livre</t>
        </is>
      </c>
      <c r="C54" s="114" t="inlineStr">
        <is>
          <t>Dilatador Nasal Magnético Reduza O Ronco</t>
        </is>
      </c>
      <c r="D54" s="119" t="n">
        <v>53.99</v>
      </c>
      <c r="E54" s="113" t="inlineStr">
        <is>
          <t>Saúde/CPAP</t>
        </is>
      </c>
      <c r="F54" s="113" t="inlineStr">
        <is>
          <t>delivered</t>
        </is>
      </c>
      <c r="G54" s="113" t="n">
        <v>51</v>
      </c>
    </row>
    <row r="55">
      <c r="A55" s="116" t="inlineStr">
        <is>
          <t>2026-03-09</t>
        </is>
      </c>
      <c r="B55" s="116" t="inlineStr">
        <is>
          <t>Mercado Livre</t>
        </is>
      </c>
      <c r="C55" s="117" t="inlineStr">
        <is>
          <t>Vermelho Gradiente Pbt Duas Cores Teclado</t>
        </is>
      </c>
      <c r="D55" s="120" t="n">
        <v>60.08</v>
      </c>
      <c r="E55" s="116" t="inlineStr">
        <is>
          <t>Eletrônicos</t>
        </is>
      </c>
      <c r="F55" s="116" t="inlineStr">
        <is>
          <t>delivered</t>
        </is>
      </c>
      <c r="G55" s="116" t="n">
        <v>52</v>
      </c>
    </row>
    <row r="56">
      <c r="A56" s="113" t="inlineStr">
        <is>
          <t>2026-03-06</t>
        </is>
      </c>
      <c r="B56" s="113" t="inlineStr">
        <is>
          <t>Mercado Livre</t>
        </is>
      </c>
      <c r="C56" s="114" t="inlineStr">
        <is>
          <t>Cápsula Nespresso Inox Reutilizável + Tampe</t>
        </is>
      </c>
      <c r="D56" s="119" t="n">
        <v>152.91</v>
      </c>
      <c r="E56" s="113" t="inlineStr">
        <is>
          <t>Casa</t>
        </is>
      </c>
      <c r="F56" s="113" t="inlineStr">
        <is>
          <t>delivered</t>
        </is>
      </c>
      <c r="G56" s="113" t="n">
        <v>53</v>
      </c>
    </row>
    <row r="57">
      <c r="A57" s="116" t="inlineStr">
        <is>
          <t>2026-03-03</t>
        </is>
      </c>
      <c r="B57" s="116" t="inlineStr">
        <is>
          <t>iFood</t>
        </is>
      </c>
      <c r="C57" s="117" t="inlineStr">
        <is>
          <t>Dona Branca – 1x Pizza grande 8 fatias + Guaraná 1l</t>
        </is>
      </c>
      <c r="D57" s="118" t="n">
        <v>57</v>
      </c>
      <c r="E57" s="116" t="inlineStr">
        <is>
          <t>Delivery/Pizza</t>
        </is>
      </c>
      <c r="F57" s="116" t="inlineStr">
        <is>
          <t>delivered</t>
        </is>
      </c>
      <c r="G57" s="116" t="n">
        <v>54</v>
      </c>
    </row>
    <row r="58">
      <c r="A58" s="113" t="inlineStr">
        <is>
          <t>2026-02-XX</t>
        </is>
      </c>
      <c r="B58" s="113" t="inlineStr">
        <is>
          <t>Mercado Livre</t>
        </is>
      </c>
      <c r="C58" s="114" t="inlineStr">
        <is>
          <t>Cpap Portátil Resmed Airmini (não entregue)</t>
        </is>
      </c>
      <c r="D58" s="119" t="n">
        <v>4952.52</v>
      </c>
      <c r="E58" s="113" t="inlineStr">
        <is>
          <t>Saúde/CPAP</t>
        </is>
      </c>
      <c r="F58" s="113" t="inlineStr">
        <is>
          <t>failed</t>
        </is>
      </c>
      <c r="G58" s="113" t="n">
        <v>55</v>
      </c>
    </row>
    <row r="59">
      <c r="A59" s="116" t="inlineStr">
        <is>
          <t>2026-02-27</t>
        </is>
      </c>
      <c r="B59" s="116" t="inlineStr">
        <is>
          <t>Mercado Livre</t>
        </is>
      </c>
      <c r="C59" s="117" t="inlineStr">
        <is>
          <t>Monitor Gamer Aoc Agon 49 Curvo 144hz</t>
        </is>
      </c>
      <c r="D59" s="120" t="n">
        <v>5999</v>
      </c>
      <c r="E59" s="116" t="inlineStr">
        <is>
          <t>Eletrônicos</t>
        </is>
      </c>
      <c r="F59" s="116" t="inlineStr">
        <is>
          <t>delivered</t>
        </is>
      </c>
      <c r="G59" s="116" t="n">
        <v>56</v>
      </c>
    </row>
    <row r="60">
      <c r="A60" s="113" t="inlineStr">
        <is>
          <t>2026-02-25</t>
        </is>
      </c>
      <c r="B60" s="113" t="inlineStr">
        <is>
          <t>Mercado Livre</t>
        </is>
      </c>
      <c r="C60" s="114" t="inlineStr">
        <is>
          <t>Teclado Programável De 8 Teclas Multifuncio</t>
        </is>
      </c>
      <c r="D60" s="119" t="n">
        <v>128.83</v>
      </c>
      <c r="E60" s="113" t="inlineStr">
        <is>
          <t>Eletrônicos</t>
        </is>
      </c>
      <c r="F60" s="113" t="inlineStr">
        <is>
          <t>delivered</t>
        </is>
      </c>
      <c r="G60" s="113" t="n">
        <v>57</v>
      </c>
    </row>
    <row r="61">
      <c r="A61" s="116" t="inlineStr">
        <is>
          <t>2026-02-21</t>
        </is>
      </c>
      <c r="B61" s="116" t="inlineStr">
        <is>
          <t>Mercado Livre</t>
        </is>
      </c>
      <c r="C61" s="117" t="inlineStr">
        <is>
          <t>Escova De Dente Elétrica Oral B Io Series 6</t>
        </is>
      </c>
      <c r="D61" s="120" t="n">
        <v>1200.05</v>
      </c>
      <c r="E61" s="116" t="inlineStr">
        <is>
          <t>Saúde/Higiene</t>
        </is>
      </c>
      <c r="F61" s="116" t="inlineStr">
        <is>
          <t>delivered</t>
        </is>
      </c>
      <c r="G61" s="116" t="n">
        <v>58</v>
      </c>
    </row>
    <row r="62">
      <c r="A62" s="113" t="inlineStr">
        <is>
          <t>2026-02-19</t>
        </is>
      </c>
      <c r="B62" s="113" t="inlineStr">
        <is>
          <t>Mercado Livre</t>
        </is>
      </c>
      <c r="C62" s="114" t="inlineStr">
        <is>
          <t>Processador De Vídeo Novastar Vc2 Painel D</t>
        </is>
      </c>
      <c r="D62" s="119" t="n">
        <v>1798</v>
      </c>
      <c r="E62" s="113" t="inlineStr">
        <is>
          <t>Eletrônicos</t>
        </is>
      </c>
      <c r="F62" s="113" t="inlineStr">
        <is>
          <t>delivered</t>
        </is>
      </c>
      <c r="G62" s="113" t="n">
        <v>59</v>
      </c>
    </row>
    <row r="63">
      <c r="A63" s="116" t="inlineStr">
        <is>
          <t>2026-02-18</t>
        </is>
      </c>
      <c r="B63" s="116" t="inlineStr">
        <is>
          <t>Mercado Livre</t>
        </is>
      </c>
      <c r="C63" s="117" t="inlineStr">
        <is>
          <t>Mouse Sem Fio Logitech Mx Master 4 Haptic</t>
        </is>
      </c>
      <c r="D63" s="120" t="n">
        <v>1590</v>
      </c>
      <c r="E63" s="116" t="inlineStr">
        <is>
          <t>Eletrônicos</t>
        </is>
      </c>
      <c r="F63" s="116" t="inlineStr">
        <is>
          <t>delivered</t>
        </is>
      </c>
      <c r="G63" s="116" t="n">
        <v>60</v>
      </c>
    </row>
    <row r="64">
      <c r="A64" s="113" t="inlineStr">
        <is>
          <t>2026-02-17</t>
        </is>
      </c>
      <c r="B64" s="113" t="inlineStr">
        <is>
          <t>Mercado Livre</t>
        </is>
      </c>
      <c r="C64" s="114" t="inlineStr">
        <is>
          <t>Aspirador De Pó Portátil Bateria 18v</t>
        </is>
      </c>
      <c r="D64" s="119" t="n">
        <v>236.97</v>
      </c>
      <c r="E64" s="113" t="inlineStr">
        <is>
          <t>Casa</t>
        </is>
      </c>
      <c r="F64" s="113" t="inlineStr">
        <is>
          <t>delivered</t>
        </is>
      </c>
      <c r="G64" s="113" t="n">
        <v>61</v>
      </c>
    </row>
    <row r="65">
      <c r="A65" s="116" t="inlineStr">
        <is>
          <t>2026-02-17</t>
        </is>
      </c>
      <c r="B65" s="116" t="inlineStr">
        <is>
          <t>Mercado Livre</t>
        </is>
      </c>
      <c r="C65" s="117" t="inlineStr">
        <is>
          <t>Hoto Mini Aspirador De Pó Portátil Sem Fio</t>
        </is>
      </c>
      <c r="D65" s="120" t="n">
        <v>496.29</v>
      </c>
      <c r="E65" s="116" t="inlineStr">
        <is>
          <t>Casa</t>
        </is>
      </c>
      <c r="F65" s="116" t="inlineStr">
        <is>
          <t>delivered</t>
        </is>
      </c>
      <c r="G65" s="116" t="n">
        <v>62</v>
      </c>
    </row>
    <row r="66">
      <c r="A66" s="113" t="inlineStr">
        <is>
          <t>2026-02-12</t>
        </is>
      </c>
      <c r="B66" s="113" t="inlineStr">
        <is>
          <t>Mercado Livre</t>
        </is>
      </c>
      <c r="C66" s="114" t="inlineStr">
        <is>
          <t>Máscara Nasal Airfit P30i P M G Resmed</t>
        </is>
      </c>
      <c r="D66" s="119" t="n">
        <v>482.55</v>
      </c>
      <c r="E66" s="113" t="inlineStr">
        <is>
          <t>Saúde/CPAP</t>
        </is>
      </c>
      <c r="F66" s="113" t="inlineStr">
        <is>
          <t>delivered</t>
        </is>
      </c>
      <c r="G66" s="113" t="n">
        <v>63</v>
      </c>
    </row>
    <row r="67">
      <c r="A67" s="116" t="inlineStr">
        <is>
          <t>2026-01-28</t>
        </is>
      </c>
      <c r="B67" s="116" t="inlineStr">
        <is>
          <t>iFood</t>
        </is>
      </c>
      <c r="C67" s="117" t="inlineStr">
        <is>
          <t>Maria Baunilha Confeitaria – 2x Copo da Felicidade</t>
        </is>
      </c>
      <c r="D67" s="121" t="inlineStr">
        <is>
          <t>—</t>
        </is>
      </c>
      <c r="E67" s="116" t="inlineStr">
        <is>
          <t>Delivery/Confeitaria</t>
        </is>
      </c>
      <c r="F67" s="116" t="inlineStr">
        <is>
          <t>delivered</t>
        </is>
      </c>
      <c r="G67" s="116" t="n">
        <v>64</v>
      </c>
    </row>
    <row r="68">
      <c r="A68" s="113" t="inlineStr">
        <is>
          <t>2026-01-16</t>
        </is>
      </c>
      <c r="B68" s="113" t="inlineStr">
        <is>
          <t>iFood</t>
        </is>
      </c>
      <c r="C68" s="114" t="inlineStr">
        <is>
          <t>Formaggio 43 - Forneria – 2x Pizza grande - até 02 sabores</t>
        </is>
      </c>
      <c r="D68" s="115" t="n">
        <v>191.8</v>
      </c>
      <c r="E68" s="113" t="inlineStr">
        <is>
          <t>Delivery/Pizza</t>
        </is>
      </c>
      <c r="F68" s="113" t="inlineStr">
        <is>
          <t>delivered</t>
        </is>
      </c>
      <c r="G68" s="113" t="n">
        <v>65</v>
      </c>
    </row>
    <row r="69">
      <c r="A69" s="116" t="inlineStr">
        <is>
          <t>2026-01-10</t>
        </is>
      </c>
      <c r="B69" s="116" t="inlineStr">
        <is>
          <t>iFood</t>
        </is>
      </c>
      <c r="C69" s="117" t="inlineStr">
        <is>
          <t>Maria Baunilha Confeitaria – 4x Copo da Felicidade</t>
        </is>
      </c>
      <c r="D69" s="118" t="n">
        <v>111.6</v>
      </c>
      <c r="E69" s="116" t="inlineStr">
        <is>
          <t>Delivery/Confeitaria</t>
        </is>
      </c>
      <c r="F69" s="116" t="inlineStr">
        <is>
          <t>delivered</t>
        </is>
      </c>
      <c r="G69" s="116" t="n">
        <v>66</v>
      </c>
    </row>
    <row r="70">
      <c r="A70" s="113" t="inlineStr">
        <is>
          <t>2026-01-06</t>
        </is>
      </c>
      <c r="B70" s="113" t="inlineStr">
        <is>
          <t>iFood</t>
        </is>
      </c>
      <c r="C70" s="114" t="inlineStr">
        <is>
          <t>Pizza Now Intermares – Pizza</t>
        </is>
      </c>
      <c r="D70" s="115" t="n">
        <v>173.79</v>
      </c>
      <c r="E70" s="113" t="inlineStr">
        <is>
          <t>Delivery/Pizza</t>
        </is>
      </c>
      <c r="F70" s="113" t="inlineStr">
        <is>
          <t>delivered</t>
        </is>
      </c>
      <c r="G70" s="113" t="n">
        <v>67</v>
      </c>
    </row>
    <row r="71">
      <c r="A71" s="116" t="inlineStr">
        <is>
          <t>2026-01-03</t>
        </is>
      </c>
      <c r="B71" s="116" t="inlineStr">
        <is>
          <t>Mercado Livre</t>
        </is>
      </c>
      <c r="C71" s="117" t="inlineStr">
        <is>
          <t>Kit Odontológico Inox De Limpeza Removedor</t>
        </is>
      </c>
      <c r="D71" s="120" t="n">
        <v>26.29</v>
      </c>
      <c r="E71" s="116" t="inlineStr">
        <is>
          <t>Saúde/Higiene</t>
        </is>
      </c>
      <c r="F71" s="116" t="inlineStr">
        <is>
          <t>delivered</t>
        </is>
      </c>
      <c r="G71" s="116" t="n">
        <v>68</v>
      </c>
    </row>
    <row r="72">
      <c r="A72" s="113" t="inlineStr">
        <is>
          <t>2026-01-03</t>
        </is>
      </c>
      <c r="B72" s="113" t="inlineStr">
        <is>
          <t>Mercado Livre</t>
        </is>
      </c>
      <c r="C72" s="114" t="inlineStr">
        <is>
          <t>Kit Cabo+espelho Odontológico Inox</t>
        </is>
      </c>
      <c r="D72" s="119" t="n">
        <v>21.85</v>
      </c>
      <c r="E72" s="113" t="inlineStr">
        <is>
          <t>Saúde/Higiene</t>
        </is>
      </c>
      <c r="F72" s="113" t="inlineStr">
        <is>
          <t>delivered</t>
        </is>
      </c>
      <c r="G72" s="113" t="n">
        <v>69</v>
      </c>
    </row>
    <row r="74">
      <c r="C74" t="inlineStr">
        <is>
          <t>ML entregues</t>
        </is>
      </c>
      <c r="D74">
        <f>SUMIFS(D4:D72,B4:B72,"Mercado Livre",F4:F72,"delivered")</f>
        <v/>
      </c>
    </row>
    <row r="75">
      <c r="C75" t="inlineStr">
        <is>
          <t>ML cancelado/falhou (EXCLUÍDO do total)</t>
        </is>
      </c>
      <c r="D75">
        <f>SUMIFS(D4:D72,B4:B72,"Mercado Livre",F4:F72,"cancelled")+SUMIFS(D4:D72,B4:B72,"Mercado Livre",F4:F72,"failed")</f>
        <v/>
      </c>
    </row>
    <row r="76">
      <c r="C76" t="inlineStr">
        <is>
          <t>iFood (só pedidos com valor)</t>
        </is>
      </c>
      <c r="D76">
        <f>SUMIFS(D4:D72,B4:B72,"iFood")</f>
        <v/>
      </c>
    </row>
    <row r="77">
      <c r="C77" t="inlineStr">
        <is>
          <t>TOTAL COMBINADO (entregue)</t>
        </is>
      </c>
      <c r="D77">
        <f>D74+D76</f>
        <v/>
      </c>
    </row>
  </sheetData>
  <mergeCells count="4">
    <mergeCell ref="E2:G2"/>
    <mergeCell ref="A2:B2"/>
    <mergeCell ref="A1:G1"/>
    <mergeCell ref="C2:D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2026-07-03T02:12:39Z</dcterms:created>
  <dcterms:modified xsi:type="dcterms:W3CDTF">2026-07-07T16:54:37Z</dcterms:modified>
  <cp:lastModifiedBy>Eduardo F Giovannini</cp:lastModifiedBy>
</cp:coreProperties>
</file>